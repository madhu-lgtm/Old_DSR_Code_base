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rovements to Payloads" sheetId="1" r:id="rId4"/>
    <sheet state="visible" name="GearBox And Motor Selection" sheetId="2" r:id="rId5"/>
    <sheet state="visible" name="60RPM Motor Fine Grain Calibrat" sheetId="3" r:id="rId6"/>
    <sheet state="visible" name="66RPM Motor Fine Grain Calibrat" sheetId="4" r:id="rId7"/>
    <sheet state="visible" name="Software Toggle Switch " sheetId="5" r:id="rId8"/>
    <sheet state="visible" name="DSR Events To Log On Board" sheetId="6" r:id="rId9"/>
    <sheet state="visible" name="Details " sheetId="7" r:id="rId10"/>
    <sheet state="visible" name="Drone Batteries And Flight Data" sheetId="8" r:id="rId11"/>
  </sheets>
  <definedNames/>
  <calcPr/>
  <extLst>
    <ext uri="GoogleSheetsCustomDataVersion2">
      <go:sheetsCustomData xmlns:go="http://customooxmlschemas.google.com/" r:id="rId12" roundtripDataChecksum="Uzi19VfWfwiicTAJApBP7mxd/KC1+c2h8fUCDNz9AK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">
      <text>
        <t xml:space="preserve">5S - 5 Number of Seeders Active 
R30 - In Row Spacing 30cm
LR - From Left and Right Order
======</t>
      </text>
    </comment>
  </commentList>
</comments>
</file>

<file path=xl/sharedStrings.xml><?xml version="1.0" encoding="utf-8"?>
<sst xmlns="http://schemas.openxmlformats.org/spreadsheetml/2006/main" count="454" uniqueCount="281">
  <si>
    <t>Improvements to Direct Seeding in Rice Drone Payload</t>
  </si>
  <si>
    <t>Urgency based on on ground issues 1-10</t>
  </si>
  <si>
    <t>Ease of implementation 1-10</t>
  </si>
  <si>
    <t>Desired by farmer 1-10</t>
  </si>
  <si>
    <t>Dependency on design modification 1-10</t>
  </si>
  <si>
    <t>Dependency on procurement 1-10</t>
  </si>
  <si>
    <t>Dependency on fabrication 1-10</t>
  </si>
  <si>
    <t>Dependency on having enough flight test data 1-10</t>
  </si>
  <si>
    <t>Dependency on larger higher capacity drone 1-10</t>
  </si>
  <si>
    <t>What to start first ?</t>
  </si>
  <si>
    <t>POC</t>
  </si>
  <si>
    <t>Phase 1 :</t>
  </si>
  <si>
    <t>Customise line spacings between rows - bring down from 30 cms to 15 cms - farmer requirement - Depends on number of arms available and drone capability to take more weight and placement customisation</t>
  </si>
  <si>
    <t>Initialisation Issues - Continuous Seed dispersal for 5-10 secs - Should avoid this from happening - No seeds should fall during initialisation</t>
  </si>
  <si>
    <t>Madhu</t>
  </si>
  <si>
    <t>Individual reset for each payload dropper instead of common reset for all droppers - Can easily solve if initialisation issue is resolved</t>
  </si>
  <si>
    <t>Avoid seeds being stuck in servo foldings areas because of air gap and other issues.</t>
  </si>
  <si>
    <t>Drivers were originally for light based encoder motors, using the same drivers for magnetic encoder motors - change/tweak of libraries or look for other drivers which are more suitable for magnetic encoder motors for current model</t>
  </si>
  <si>
    <t>HALL Sensors / Motors / Drivers are exposed to elements , need covers/ enclosures for each of them to ensure their proper functioning</t>
  </si>
  <si>
    <t>Reduce wobble in payload arms to have stable flight and accurate dispersal of seeds - consider tying all arms horizontally to reside horizontal wobble of arms</t>
  </si>
  <si>
    <t>Connectors to make wiring cleaner and reduce the number of exposed wires</t>
  </si>
  <si>
    <t>Sudden height drops in drone - Test semi autonomous firmware and stabilise</t>
  </si>
  <si>
    <t>Longer endurance for current drone model - battery, flying SOPs</t>
  </si>
  <si>
    <t>Identify and Correct False alarm triggers - Seed Stuck Alarm</t>
  </si>
  <si>
    <t>Even Discharge of seeds at various RPMs - high and low RPMs - can solve upon tweaking or stabilising drivers further for motor control</t>
  </si>
  <si>
    <t>Other options for encoder motors and suitable drivers for new options</t>
  </si>
  <si>
    <t>Evaluate the choice of motors for existing drone - x8 to x9/x10 shit? And propellers accordingly</t>
  </si>
  <si>
    <t>Ensure alerts are thrown for any discrepancies in operations - like slower discharge in one arm compared to others, seed stuck in one arm, seeds over in one arm, etc . Determine what action drone has to take based on the alert - avoid RTL wherever possible - self cleaning/unstuck without dropping seeds on the fly if possible</t>
  </si>
  <si>
    <t>Seed Empty Alerts</t>
  </si>
  <si>
    <t>Individual Light Indicators for each arm for better visibility of dropper status - Block, Empty, Maintenance, Working well</t>
  </si>
  <si>
    <t>Padding / Cushion at the tip of arms to avoid mud being deposited at the end of arm</t>
  </si>
  <si>
    <t>Easy seed filling procedure especially for payloads that are under the drone body</t>
  </si>
  <si>
    <t>Phase 2 :</t>
  </si>
  <si>
    <t>Variable Seed Picker size for other type of seeds</t>
  </si>
  <si>
    <t>Larger Seed Containers to cover larger area in single flight</t>
  </si>
  <si>
    <t>Predictable column spacing and synchronization of seed dropping amongst all droppers in a drone</t>
  </si>
  <si>
    <t>Bigger capacity drone like G620 to provide larger/more seed containers</t>
  </si>
  <si>
    <t>Calculator to determine discharge rates based on seeds weight / line spacing / column spacing and dosage per acre</t>
  </si>
  <si>
    <t>Drop seeds as a bunch (4-5 seeds per drop)</t>
  </si>
  <si>
    <t>Seed level indicator</t>
  </si>
  <si>
    <t>GCS Modifications / Customisations to bring all DSR related data on the app screen</t>
  </si>
  <si>
    <t>Pre start and pre stop motors to avoid gaps in the beginning of the line and to avoid seed from falling outside the boundary</t>
  </si>
  <si>
    <t>Field Preparation SOPs for drone based sowing, avoiding excess levels of water and other precautionary measures.</t>
  </si>
  <si>
    <t>SOPs for Germination rate measuring and evaluating success of trails</t>
  </si>
  <si>
    <t>Step down voltage converter to utilise drone battery for DSR payload functioning.</t>
  </si>
  <si>
    <t>Easy removal of excess seeds</t>
  </si>
  <si>
    <t>Phase 3 :</t>
  </si>
  <si>
    <t>RTK Module for better positional accuracy</t>
  </si>
  <si>
    <t>Better vertical position accuracy - Downward facing radars / Lidars etc</t>
  </si>
  <si>
    <t>Shooting seed rather than dropping it for ground penetration - as long as seed isn’t damaged</t>
  </si>
  <si>
    <t>Straighter lines of sowing, especially during winds - gimbal to hold all arms vertical ??</t>
  </si>
  <si>
    <t>sno</t>
  </si>
  <si>
    <t>Motor RPM</t>
  </si>
  <si>
    <t>Gear Box Ration</t>
  </si>
  <si>
    <t>Constants</t>
  </si>
  <si>
    <t>Values</t>
  </si>
  <si>
    <t>Gare Ratio Cal</t>
  </si>
  <si>
    <t>https://evolventdesign.com/pages/gear-ratio-calculator?srsltid=AfmBOorcHJ1AHDwdleb0lrDJYIkry3GxTCYn_GHOenPLEUOGfKxU7l3e</t>
  </si>
  <si>
    <t>PG</t>
  </si>
  <si>
    <t>60RPM Motor
(JGB37-520-12V-60R)</t>
  </si>
  <si>
    <t>FFG</t>
  </si>
  <si>
    <t>IG</t>
  </si>
  <si>
    <t>LPR</t>
  </si>
  <si>
    <t>ACC</t>
  </si>
  <si>
    <t>Base
 Motor RPM
Input</t>
  </si>
  <si>
    <t>Base Motor
Feedback
Function RPM
Lower Limit</t>
  </si>
  <si>
    <t>Base Motor 
Feedback
Function RPM 
Upper Limit</t>
  </si>
  <si>
    <t>Gear Box 
Ratio</t>
  </si>
  <si>
    <t xml:space="preserve">Shaft RPM 
Lower Limt </t>
  </si>
  <si>
    <t xml:space="preserve">Shaft RPM 
Upper Limit </t>
  </si>
  <si>
    <t>Average RPM 
(Lower Limt + 
Upper Limt )
/2</t>
  </si>
  <si>
    <t>Intended Shaft 
RPM</t>
  </si>
  <si>
    <t xml:space="preserve">LPR
</t>
  </si>
  <si>
    <t>Actual Shaft 
RPM</t>
  </si>
  <si>
    <t xml:space="preserve">Safe Limits </t>
  </si>
  <si>
    <t>Filtered Output 
By Program 
Arduino
Rhino_003_7_008_5_014_2</t>
  </si>
  <si>
    <t>Filtered Output 
By Program 
Arduino
Rhino_003_7_008_5_014_3</t>
  </si>
  <si>
    <t>RPM Deviation
Rhino_003_7_008_5_014_2</t>
  </si>
  <si>
    <t>RPM Deviation
Rhino_003_7_008_5_014_3</t>
  </si>
  <si>
    <t>No Data</t>
  </si>
  <si>
    <t>SAFE MIN Limit For RPM No Load</t>
  </si>
  <si>
    <t>CutOff RPM (i.e,15) On Load</t>
  </si>
  <si>
    <t>MAX Limit For RPM</t>
  </si>
  <si>
    <t xml:space="preserve">Seed Type </t>
  </si>
  <si>
    <t>Fine Grain</t>
  </si>
  <si>
    <t xml:space="preserve">Base Motor </t>
  </si>
  <si>
    <t>JGB37-520 12V</t>
  </si>
  <si>
    <t>Program Ver 
Details</t>
  </si>
  <si>
    <t>Rhino_003_7_008_5_014_16_5_WithToggleSelect_NoLog_60RPM</t>
  </si>
  <si>
    <t>-</t>
  </si>
  <si>
    <t>Line Spacing</t>
  </si>
  <si>
    <t>1.5m</t>
  </si>
  <si>
    <t>Seed Code</t>
  </si>
  <si>
    <t xml:space="preserve">RNR15048 </t>
  </si>
  <si>
    <t>Gear Ratio</t>
  </si>
  <si>
    <t>Link</t>
  </si>
  <si>
    <t>https://drive.google.com/file/d/1QtOA9jp2I_BG-bUn0b-kvOUOmkIpDMk9/view?usp=drive_link</t>
  </si>
  <si>
    <t xml:space="preserve">Seed Name </t>
  </si>
  <si>
    <t>Telanga Sona</t>
  </si>
  <si>
    <t>Rated RPM</t>
  </si>
  <si>
    <t>60 RPM Motor Fine Grain Calibration Data</t>
  </si>
  <si>
    <t>Sno</t>
  </si>
  <si>
    <t>Set Percent
 in GCS %</t>
  </si>
  <si>
    <t>Slot adjustment 
(Drill Size) cm</t>
  </si>
  <si>
    <t xml:space="preserve">Seed Collection
Time (Sec) </t>
  </si>
  <si>
    <t>Weight Of the 
Seed Collected
 (grms)</t>
  </si>
  <si>
    <t>Discharge Rate 
Single Module  
(kg/min)</t>
  </si>
  <si>
    <t xml:space="preserve">Number of 
Modules </t>
  </si>
  <si>
    <t xml:space="preserve">Total Estimated 
Discharge rate 
(kg/min) </t>
  </si>
  <si>
    <t>Estimated 
Shaft RPM</t>
  </si>
  <si>
    <t xml:space="preserve">Drill Size </t>
  </si>
  <si>
    <t>Dosage/Acre</t>
  </si>
  <si>
    <t xml:space="preserve">Drone Speed </t>
  </si>
  <si>
    <t>Pump Percentage</t>
  </si>
  <si>
    <t>Rhino_003_7
_008_014_5</t>
  </si>
  <si>
    <t>66 RPM Motor Fine Grain Calibration Data</t>
  </si>
  <si>
    <t>Software Toggles With PWM Ranges For 5 Module DSR</t>
  </si>
  <si>
    <t xml:space="preserve">No.of 
Seeders </t>
  </si>
  <si>
    <t xml:space="preserve">Row Spacing
</t>
  </si>
  <si>
    <t>Configuration
 ID</t>
  </si>
  <si>
    <t>Configuration
 Details</t>
  </si>
  <si>
    <t>N1</t>
  </si>
  <si>
    <t>N2</t>
  </si>
  <si>
    <t>N3</t>
  </si>
  <si>
    <t>N4</t>
  </si>
  <si>
    <t>N5</t>
  </si>
  <si>
    <t>Mean PWM
 to Set</t>
  </si>
  <si>
    <t>Min PWM
 to Set</t>
  </si>
  <si>
    <t>Max PWM 
to Set</t>
  </si>
  <si>
    <t xml:space="preserve">Error </t>
  </si>
  <si>
    <t xml:space="preserve">Min PWM </t>
  </si>
  <si>
    <t>0Cm (All OFF)</t>
  </si>
  <si>
    <t>0S-R0</t>
  </si>
  <si>
    <t>Max PWM</t>
  </si>
  <si>
    <t xml:space="preserve">30Cm  
</t>
  </si>
  <si>
    <t>5S-R30-LR</t>
  </si>
  <si>
    <t>PWM Reading Accuracy (+ or -)</t>
  </si>
  <si>
    <t>4S-R30-L</t>
  </si>
  <si>
    <t>No.of Configurations For 5 Seeders</t>
  </si>
  <si>
    <t>3S-R30-L</t>
  </si>
  <si>
    <t>PWM Division Range</t>
  </si>
  <si>
    <t>2S-R30-L</t>
  </si>
  <si>
    <t>1S-R0-L</t>
  </si>
  <si>
    <t>4S-R30-R</t>
  </si>
  <si>
    <t>5S - 5 Number of Seeders Active</t>
  </si>
  <si>
    <t>3S-R30-R</t>
  </si>
  <si>
    <t>R30 - In Row Spacing 30cm</t>
  </si>
  <si>
    <t>2S-R30-R</t>
  </si>
  <si>
    <t>LR - From Left and Right Order</t>
  </si>
  <si>
    <t>1S-R0-R</t>
  </si>
  <si>
    <t xml:space="preserve">60Cm 
</t>
  </si>
  <si>
    <t>3S-R60-LR</t>
  </si>
  <si>
    <t>2S-R60-LR</t>
  </si>
  <si>
    <t>2S-R60-L</t>
  </si>
  <si>
    <t>2S-R60-R</t>
  </si>
  <si>
    <t xml:space="preserve">90Cm 
</t>
  </si>
  <si>
    <t>2S-R90-L</t>
  </si>
  <si>
    <t xml:space="preserve">120Cm </t>
  </si>
  <si>
    <t>2S-R120-LR</t>
  </si>
  <si>
    <t>p</t>
  </si>
  <si>
    <t xml:space="preserve">Priority </t>
  </si>
  <si>
    <t xml:space="preserve">Initialization (Connecting Power) </t>
  </si>
  <si>
    <t>Configuration Mode Active</t>
  </si>
  <si>
    <t>Input Pwm Recived from FC (Aux1) Speed</t>
  </si>
  <si>
    <t>Input Pwm Recived from FC (Aux2) Software Toggle</t>
  </si>
  <si>
    <t>Computed RPM Written to Motor Drivers</t>
  </si>
  <si>
    <t>Rpm Feed back of each Module</t>
  </si>
  <si>
    <t>Error in RPM</t>
  </si>
  <si>
    <t xml:space="preserve">Pending </t>
  </si>
  <si>
    <t xml:space="preserve">Led States of each Module </t>
  </si>
  <si>
    <t xml:space="preserve">Seed Blockage Alert </t>
  </si>
  <si>
    <t>Seed Level in Each Module</t>
  </si>
  <si>
    <t xml:space="preserve">Electronics Pending </t>
  </si>
  <si>
    <t>Termination (Dissconnecting Power)</t>
  </si>
  <si>
    <r>
      <rPr>
        <rFont val="Arial"/>
        <b/>
        <color theme="1"/>
      </rPr>
      <t xml:space="preserve">New Version Means </t>
    </r>
    <r>
      <rPr>
        <rFont val="Arial"/>
        <color theme="1"/>
      </rPr>
      <t xml:space="preserve">: 5 Indivdual Payloads (China payload)  ;
</t>
    </r>
    <r>
      <rPr>
        <rFont val="Arial"/>
        <b/>
        <color theme="1"/>
      </rPr>
      <t>Old Version Means</t>
    </r>
    <r>
      <rPr>
        <rFont val="Arial"/>
        <color theme="1"/>
      </rPr>
      <t>: 5 Combine Pipes Payload;</t>
    </r>
  </si>
  <si>
    <t xml:space="preserve">DSR VERSION </t>
  </si>
  <si>
    <t>New  Version</t>
  </si>
  <si>
    <t xml:space="preserve">New Version </t>
  </si>
  <si>
    <t>PLACE OF OPERATION</t>
  </si>
  <si>
    <t xml:space="preserve"> Raghunathapally Farmer ,Warangal District </t>
  </si>
  <si>
    <t xml:space="preserve"> Konaichelam, Warangal District</t>
  </si>
  <si>
    <t>kothakota mahabubnagar District</t>
  </si>
  <si>
    <t xml:space="preserve">Thoranala ,Siddepet District </t>
  </si>
  <si>
    <t>AREA OF THE PLOT</t>
  </si>
  <si>
    <t>0.28 Acres</t>
  </si>
  <si>
    <t>0.25 Acres</t>
  </si>
  <si>
    <t>1 Acres</t>
  </si>
  <si>
    <t>1000 Sqmeter,988 Sq Meters</t>
  </si>
  <si>
    <t>DATE AND TIME</t>
  </si>
  <si>
    <t>30/12/2024 : 10am Clock</t>
  </si>
  <si>
    <t>31/12/2024: 2:11 pm</t>
  </si>
  <si>
    <t>20/01/2025 : 3:20 pm</t>
  </si>
  <si>
    <t xml:space="preserve">27/01/2025: </t>
  </si>
  <si>
    <t>TYPE OF SEED USED</t>
  </si>
  <si>
    <t>RNR15048 (Fine Grain ) ;Telangana Sona</t>
  </si>
  <si>
    <t xml:space="preserve">RNR31479 </t>
  </si>
  <si>
    <t>Jagtial Rice-1 (JGL24423)</t>
  </si>
  <si>
    <t xml:space="preserve">NAME OF AGENCY  OR FARMER </t>
  </si>
  <si>
    <t xml:space="preserve">Krishna Reddy </t>
  </si>
  <si>
    <t>Yellareddy</t>
  </si>
  <si>
    <t>Krupakar Reddy</t>
  </si>
  <si>
    <t xml:space="preserve">ARS ( Tornala) </t>
  </si>
  <si>
    <t>QUANTITY OF KGS  DEPLOYED</t>
  </si>
  <si>
    <t>1750 Grams</t>
  </si>
  <si>
    <t>1620 Grams</t>
  </si>
  <si>
    <t>7kgs</t>
  </si>
  <si>
    <t>2kgs</t>
  </si>
  <si>
    <t>CONTACT NUMBER</t>
  </si>
  <si>
    <t>97041 13036</t>
  </si>
  <si>
    <t>99082 91560</t>
  </si>
  <si>
    <t>9989264126 (Prashanth Admin At Tornala)</t>
  </si>
  <si>
    <t xml:space="preserve">DRONE MODEL </t>
  </si>
  <si>
    <t>E4 Drone (Pixhawk Drone ),X8 Motors</t>
  </si>
  <si>
    <t>BATTERY USED</t>
  </si>
  <si>
    <t>25200 (Li-ion)Mah</t>
  </si>
  <si>
    <t xml:space="preserve">2200 (Li-po) Mah </t>
  </si>
  <si>
    <t>30Mah (Genx),2200(Li-po)</t>
  </si>
  <si>
    <t>22000mah (Tattu) (Li-po)</t>
  </si>
  <si>
    <t>PROJECT ASSOCIATE ENGINEER</t>
  </si>
  <si>
    <t>K.Shivasai</t>
  </si>
  <si>
    <t>K.Shivasai ,Vinay</t>
  </si>
  <si>
    <t>PROJECT PILOT NAME</t>
  </si>
  <si>
    <t>Shivaram</t>
  </si>
  <si>
    <t xml:space="preserve">IN PRESENCE SCIENTS OF </t>
  </si>
  <si>
    <t>VarmaSir ,Kiran Sir</t>
  </si>
  <si>
    <t xml:space="preserve">VarmaSir  ,SriDevi Mam </t>
  </si>
  <si>
    <r>
      <rPr>
        <rFont val="Arial"/>
        <b/>
        <color rgb="FF0000FF"/>
      </rPr>
      <t xml:space="preserve">Parameters Used AUTO   </t>
    </r>
    <r>
      <rPr>
        <rFont val="Arial"/>
        <b/>
        <color theme="1"/>
      </rPr>
      <t xml:space="preserve">                                                                                       
</t>
    </r>
    <r>
      <rPr>
        <rFont val="Arial"/>
        <color theme="1"/>
      </rPr>
      <t xml:space="preserve">
</t>
    </r>
    <r>
      <rPr>
        <rFont val="Arial"/>
        <b/>
        <color theme="1"/>
      </rPr>
      <t xml:space="preserve">Height: </t>
    </r>
    <r>
      <rPr>
        <rFont val="Arial"/>
        <color theme="1"/>
      </rPr>
      <t xml:space="preserve">2.0 ( Safe Height)
</t>
    </r>
    <r>
      <rPr>
        <rFont val="Arial"/>
        <b/>
        <color theme="1"/>
      </rPr>
      <t xml:space="preserve">Drone Speed:  4.5 </t>
    </r>
    <r>
      <rPr>
        <rFont val="Arial"/>
        <color theme="1"/>
      </rPr>
      <t xml:space="preserve"> M/S
</t>
    </r>
    <r>
      <rPr>
        <rFont val="Arial"/>
        <b/>
        <color theme="1"/>
      </rPr>
      <t>Line Spacing:</t>
    </r>
    <r>
      <rPr>
        <rFont val="Arial"/>
        <color theme="1"/>
      </rPr>
      <t xml:space="preserve">1.5 
</t>
    </r>
    <r>
      <rPr>
        <rFont val="Arial"/>
        <b/>
        <color theme="1"/>
      </rPr>
      <t>Mode of Flying:</t>
    </r>
    <r>
      <rPr>
        <rFont val="Arial"/>
        <color theme="1"/>
      </rPr>
      <t xml:space="preserve">Auto 
</t>
    </r>
    <r>
      <rPr>
        <rFont val="Arial"/>
        <b/>
        <color theme="1"/>
      </rPr>
      <t>Spray Rate</t>
    </r>
    <r>
      <rPr>
        <rFont val="Arial"/>
        <color theme="1"/>
      </rPr>
      <t xml:space="preserve">: 50
</t>
    </r>
    <r>
      <rPr>
        <rFont val="Arial"/>
        <b/>
        <color rgb="FF0000FF"/>
      </rPr>
      <t xml:space="preserve">Parameters Used Manual </t>
    </r>
    <r>
      <rPr>
        <rFont val="Arial"/>
        <color theme="1"/>
      </rPr>
      <t xml:space="preserve">
</t>
    </r>
    <r>
      <rPr>
        <rFont val="Arial"/>
        <b/>
        <color theme="1"/>
      </rPr>
      <t>Height:</t>
    </r>
    <r>
      <rPr>
        <rFont val="Arial"/>
        <color theme="1"/>
      </rPr>
      <t xml:space="preserve"> 2.0 ( Safe Height)
</t>
    </r>
    <r>
      <rPr>
        <rFont val="Arial"/>
        <b/>
        <color theme="1"/>
      </rPr>
      <t>Drone Speed:</t>
    </r>
    <r>
      <rPr>
        <rFont val="Arial"/>
        <color theme="1"/>
      </rPr>
      <t xml:space="preserve">  2.5 to 2.7  M/S
</t>
    </r>
    <r>
      <rPr>
        <rFont val="Arial"/>
        <b/>
        <color theme="1"/>
      </rPr>
      <t>Line Spacing</t>
    </r>
    <r>
      <rPr>
        <rFont val="Arial"/>
        <color theme="1"/>
      </rPr>
      <t xml:space="preserve">:1.5 
</t>
    </r>
    <r>
      <rPr>
        <rFont val="Arial"/>
        <b/>
        <color theme="1"/>
      </rPr>
      <t>Mode of Flying</t>
    </r>
    <r>
      <rPr>
        <rFont val="Arial"/>
        <color theme="1"/>
      </rPr>
      <t xml:space="preserve">:Manual
</t>
    </r>
    <r>
      <rPr>
        <rFont val="Arial"/>
        <b/>
        <color theme="1"/>
      </rPr>
      <t>Spray Rate:</t>
    </r>
    <r>
      <rPr>
        <rFont val="Arial"/>
        <color theme="1"/>
      </rPr>
      <t xml:space="preserve"> 32 to 33
</t>
    </r>
  </si>
  <si>
    <t>NUMBER OF FLIGHTS</t>
  </si>
  <si>
    <t>TAKE-OFF TIME</t>
  </si>
  <si>
    <t>BATTERY VOLTAGE</t>
  </si>
  <si>
    <t>WITH OR WITHOUT PAYLOAD</t>
  </si>
  <si>
    <t>BATTERY TYPE</t>
  </si>
  <si>
    <t>LANDING TIME</t>
  </si>
  <si>
    <t xml:space="preserve">FLIGHT TIME </t>
  </si>
  <si>
    <t>LANDING VOLTAGE</t>
  </si>
  <si>
    <t>BATTERY ENDURANCE</t>
  </si>
  <si>
    <t>AREA COVERED</t>
  </si>
  <si>
    <t>MANAUL /AUTO MODE</t>
  </si>
  <si>
    <t>DATE</t>
  </si>
  <si>
    <t>NO.OF TIMES TAKE-OFF AND LANDING</t>
  </si>
  <si>
    <t xml:space="preserve">LOGS File Link </t>
  </si>
  <si>
    <t>Remarks</t>
  </si>
  <si>
    <t>10:11:00 AM.</t>
  </si>
  <si>
    <t>WITHOUT PAYLOAD</t>
  </si>
  <si>
    <t>25200 (LI-ION)-OLD</t>
  </si>
  <si>
    <t>10:16:00 AM.</t>
  </si>
  <si>
    <t>Auto Mode</t>
  </si>
  <si>
    <t>30/12/2024</t>
  </si>
  <si>
    <t>10:32:00 AM.</t>
  </si>
  <si>
    <t>WITH LOAD</t>
  </si>
  <si>
    <t>10:34:00 AM.</t>
  </si>
  <si>
    <t xml:space="preserve">2 :30 </t>
  </si>
  <si>
    <t>Manual Mode</t>
  </si>
  <si>
    <t>1:15:00 PM.</t>
  </si>
  <si>
    <t xml:space="preserve">22000 (LI-PO) (IT IS NEW BATTERIES
 AND 
I PUT CHARGING 6AMPS </t>
  </si>
  <si>
    <t>1:23:00 PM.</t>
  </si>
  <si>
    <t>8 Miniutes</t>
  </si>
  <si>
    <t>31/12/2024</t>
  </si>
  <si>
    <t>2:34:47 PM.</t>
  </si>
  <si>
    <t xml:space="preserve">WITH LOAD </t>
  </si>
  <si>
    <t>22000 LIP0-NEW -6A</t>
  </si>
  <si>
    <t>2:56:34 PM.</t>
  </si>
  <si>
    <t>13 Minutes 46 seconds</t>
  </si>
  <si>
    <t>19/01/2025</t>
  </si>
  <si>
    <t>3:11:57 PM.</t>
  </si>
  <si>
    <t>22000 LIP0-NEW-6A</t>
  </si>
  <si>
    <t>3:20:43 PM.</t>
  </si>
  <si>
    <t xml:space="preserve">10:40 seconds </t>
  </si>
  <si>
    <t>3:29:49 PM.</t>
  </si>
  <si>
    <t>3:38:47 PM.</t>
  </si>
  <si>
    <t xml:space="preserve">10:36 seconds </t>
  </si>
  <si>
    <t>30000 Genx -NEW-6A</t>
  </si>
  <si>
    <t>3:57:24 PM.</t>
  </si>
  <si>
    <t>11.11 seconds</t>
  </si>
  <si>
    <t>7 Minutes34 Seconds</t>
  </si>
  <si>
    <t>1000 Sq.meter (50 *20)</t>
  </si>
  <si>
    <t>27/01/2025</t>
  </si>
  <si>
    <t>27-01-2025</t>
  </si>
  <si>
    <t>9 Minutes 44Seconds</t>
  </si>
  <si>
    <t>988 Sq.meter (38*26)</t>
  </si>
  <si>
    <t xml:space="preserve">Pilot Is flying With 4 CF Rods that is the 
Reason More time taking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</si>
</sst>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:ss am/pm"/>
  </numFmts>
  <fonts count="22">
    <font>
      <sz val="10.0"/>
      <color rgb="FF000000"/>
      <name val="Arial"/>
      <scheme val="minor"/>
    </font>
    <font>
      <b/>
      <sz val="15.0"/>
      <color rgb="FFFF0000"/>
      <name val="&quot;Times New Roman&quot;"/>
    </font>
    <font>
      <b/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color theme="1"/>
      <name val="Arial"/>
      <scheme val="minor"/>
    </font>
    <font>
      <color rgb="FF000000"/>
      <name val="Arial"/>
      <scheme val="minor"/>
    </font>
    <font>
      <u/>
      <color rgb="FF0000FF"/>
    </font>
    <font/>
    <font>
      <u/>
      <color rgb="FF0000FF"/>
    </font>
    <font>
      <b/>
      <sz val="18.0"/>
      <color rgb="FFFF0000"/>
      <name val="Arial"/>
      <scheme val="minor"/>
    </font>
    <font>
      <b/>
      <sz val="16.0"/>
      <color rgb="FFFF0000"/>
      <name val="Arial"/>
      <scheme val="minor"/>
    </font>
    <font>
      <color theme="1"/>
      <name val="Arial"/>
    </font>
    <font>
      <b/>
      <sz val="10.0"/>
      <color theme="1"/>
      <name val="Times New Roman"/>
    </font>
    <font>
      <sz val="11.0"/>
      <color rgb="FF000000"/>
      <name val="Times New Roman"/>
    </font>
    <font>
      <sz val="11.0"/>
      <color rgb="FF000000"/>
      <name val="Calibri"/>
    </font>
    <font>
      <b/>
      <sz val="11.0"/>
      <color rgb="FF000000"/>
      <name val="Calibri"/>
    </font>
    <font>
      <color theme="1"/>
      <name val="Times New Roman"/>
    </font>
    <font>
      <b/>
      <color theme="1"/>
      <name val="Times New Roman"/>
    </font>
    <font>
      <color rgb="FF000000"/>
      <name val="Arial"/>
    </font>
    <font>
      <color rgb="FF00FF00"/>
      <name val="Arial"/>
    </font>
    <font>
      <u/>
      <color rgb="FF0000FF"/>
    </font>
  </fonts>
  <fills count="27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C27BA0"/>
        <bgColor rgb="FFC27BA0"/>
      </patternFill>
    </fill>
    <fill>
      <patternFill patternType="solid">
        <fgColor rgb="FF8E7CC3"/>
        <bgColor rgb="FF8E7CC3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E06666"/>
        <bgColor rgb="FFE0666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readingOrder="0" shrinkToFit="0" wrapText="1"/>
    </xf>
    <xf borderId="0" fillId="0" fontId="5" numFmtId="0" xfId="0" applyAlignment="1" applyFont="1">
      <alignment readingOrder="0"/>
    </xf>
    <xf borderId="0" fillId="0" fontId="5" numFmtId="0" xfId="0" applyFont="1"/>
    <xf borderId="0" fillId="2" fontId="4" numFmtId="0" xfId="0" applyAlignment="1" applyFill="1" applyFont="1">
      <alignment horizontal="left" readingOrder="0" shrinkToFit="0" wrapText="1"/>
    </xf>
    <xf borderId="0" fillId="0" fontId="4" numFmtId="0" xfId="0" applyAlignment="1" applyFont="1">
      <alignment horizontal="left" shrinkToFit="0" wrapText="1"/>
    </xf>
    <xf borderId="1" fillId="3" fontId="6" numFmtId="0" xfId="0" applyAlignment="1" applyBorder="1" applyFill="1" applyFont="1">
      <alignment horizontal="center" readingOrder="0" vertical="center"/>
    </xf>
    <xf borderId="1" fillId="3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3" fontId="6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1" fillId="4" fontId="5" numFmtId="0" xfId="0" applyAlignment="1" applyBorder="1" applyFill="1" applyFont="1">
      <alignment horizontal="center" readingOrder="0" vertical="center"/>
    </xf>
    <xf borderId="1" fillId="5" fontId="5" numFmtId="0" xfId="0" applyAlignment="1" applyBorder="1" applyFill="1" applyFont="1">
      <alignment horizontal="center" readingOrder="0" vertical="center"/>
    </xf>
    <xf borderId="0" fillId="5" fontId="5" numFmtId="0" xfId="0" applyAlignment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4" fontId="5" numFmtId="0" xfId="0" applyAlignment="1" applyBorder="1" applyFont="1">
      <alignment horizontal="center" vertical="center"/>
    </xf>
    <xf borderId="1" fillId="6" fontId="5" numFmtId="0" xfId="0" applyAlignment="1" applyBorder="1" applyFill="1" applyFont="1">
      <alignment horizontal="center" readingOrder="0" vertical="center"/>
    </xf>
    <xf borderId="1" fillId="7" fontId="5" numFmtId="0" xfId="0" applyAlignment="1" applyBorder="1" applyFill="1" applyFont="1">
      <alignment horizontal="center" readingOrder="0" vertical="center"/>
    </xf>
    <xf borderId="1" fillId="8" fontId="5" numFmtId="0" xfId="0" applyAlignment="1" applyBorder="1" applyFill="1" applyFont="1">
      <alignment horizontal="center" readingOrder="0" vertical="center"/>
    </xf>
    <xf borderId="1" fillId="9" fontId="5" numFmtId="0" xfId="0" applyAlignment="1" applyBorder="1" applyFill="1" applyFont="1">
      <alignment horizontal="center" readingOrder="0" vertical="center"/>
    </xf>
    <xf borderId="1" fillId="10" fontId="5" numFmtId="0" xfId="0" applyAlignment="1" applyBorder="1" applyFill="1" applyFont="1">
      <alignment horizontal="center" readingOrder="0" vertical="center"/>
    </xf>
    <xf borderId="0" fillId="4" fontId="5" numFmtId="0" xfId="0" applyAlignment="1" applyFont="1">
      <alignment horizontal="center" readingOrder="0" vertical="center"/>
    </xf>
    <xf borderId="1" fillId="11" fontId="5" numFmtId="0" xfId="0" applyAlignment="1" applyBorder="1" applyFill="1" applyFont="1">
      <alignment horizontal="center" readingOrder="0" vertical="center"/>
    </xf>
    <xf borderId="1" fillId="12" fontId="5" numFmtId="0" xfId="0" applyAlignment="1" applyBorder="1" applyFill="1" applyFont="1">
      <alignment horizontal="center" readingOrder="0" vertical="center"/>
    </xf>
    <xf borderId="1" fillId="13" fontId="5" numFmtId="0" xfId="0" applyAlignment="1" applyBorder="1" applyFill="1" applyFont="1">
      <alignment horizontal="center" vertical="center"/>
    </xf>
    <xf borderId="0" fillId="13" fontId="5" numFmtId="0" xfId="0" applyAlignment="1" applyFont="1">
      <alignment horizontal="center" readingOrder="0" vertical="center"/>
    </xf>
    <xf borderId="1" fillId="1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/>
    </xf>
    <xf borderId="1" fillId="14" fontId="5" numFmtId="0" xfId="0" applyAlignment="1" applyBorder="1" applyFill="1" applyFont="1">
      <alignment horizontal="center" readingOrder="0" vertical="center"/>
    </xf>
    <xf borderId="1" fillId="15" fontId="5" numFmtId="0" xfId="0" applyAlignment="1" applyBorder="1" applyFill="1" applyFont="1">
      <alignment horizontal="center" readingOrder="0" vertical="center"/>
    </xf>
    <xf borderId="1" fillId="16" fontId="5" numFmtId="0" xfId="0" applyAlignment="1" applyBorder="1" applyFill="1" applyFont="1">
      <alignment horizontal="center" readingOrder="0" vertical="center"/>
    </xf>
    <xf borderId="1" fillId="17" fontId="5" numFmtId="0" xfId="0" applyAlignment="1" applyBorder="1" applyFill="1" applyFont="1">
      <alignment horizontal="center" readingOrder="0" vertical="center"/>
    </xf>
    <xf borderId="0" fillId="13" fontId="5" numFmtId="0" xfId="0" applyAlignment="1" applyFont="1">
      <alignment horizontal="center" vertical="center"/>
    </xf>
    <xf borderId="1" fillId="18" fontId="5" numFmtId="0" xfId="0" applyAlignment="1" applyBorder="1" applyFill="1" applyFont="1">
      <alignment horizontal="center" vertical="center"/>
    </xf>
    <xf borderId="2" fillId="0" fontId="5" numFmtId="0" xfId="0" applyAlignment="1" applyBorder="1" applyFont="1">
      <alignment horizontal="center" readingOrder="0" vertical="center"/>
    </xf>
    <xf borderId="3" fillId="0" fontId="8" numFmtId="0" xfId="0" applyBorder="1" applyFont="1"/>
    <xf borderId="1" fillId="0" fontId="5" numFmtId="0" xfId="0" applyAlignment="1" applyBorder="1" applyFont="1">
      <alignment readingOrder="0"/>
    </xf>
    <xf borderId="1" fillId="0" fontId="5" numFmtId="0" xfId="0" applyBorder="1" applyFont="1"/>
    <xf borderId="1" fillId="10" fontId="5" numFmtId="0" xfId="0" applyAlignment="1" applyBorder="1" applyFont="1">
      <alignment horizontal="center" readingOrder="0"/>
    </xf>
    <xf borderId="4" fillId="0" fontId="8" numFmtId="0" xfId="0" applyBorder="1" applyFont="1"/>
    <xf borderId="1" fillId="19" fontId="5" numFmtId="0" xfId="0" applyAlignment="1" applyBorder="1" applyFill="1" applyFont="1">
      <alignment horizontal="center" readingOrder="0" vertical="center"/>
    </xf>
    <xf borderId="1" fillId="19" fontId="5" numFmtId="0" xfId="0" applyAlignment="1" applyBorder="1" applyFont="1">
      <alignment readingOrder="0"/>
    </xf>
    <xf borderId="1" fillId="0" fontId="9" numFmtId="0" xfId="0" applyAlignment="1" applyBorder="1" applyFont="1">
      <alignment horizontal="center" readingOrder="0" vertical="center"/>
    </xf>
    <xf borderId="1" fillId="19" fontId="5" numFmtId="0" xfId="0" applyAlignment="1" applyBorder="1" applyFont="1">
      <alignment horizontal="center" vertical="center"/>
    </xf>
    <xf borderId="0" fillId="20" fontId="10" numFmtId="0" xfId="0" applyAlignment="1" applyFill="1" applyFont="1">
      <alignment horizontal="center" readingOrder="0" vertical="center"/>
    </xf>
    <xf borderId="1" fillId="21" fontId="5" numFmtId="0" xfId="0" applyAlignment="1" applyBorder="1" applyFill="1" applyFont="1">
      <alignment horizontal="center" readingOrder="0" vertical="center"/>
    </xf>
    <xf borderId="1" fillId="22" fontId="5" numFmtId="0" xfId="0" applyAlignment="1" applyBorder="1" applyFill="1" applyFont="1">
      <alignment horizontal="center" readingOrder="0" vertical="center"/>
    </xf>
    <xf borderId="2" fillId="23" fontId="5" numFmtId="0" xfId="0" applyAlignment="1" applyBorder="1" applyFill="1" applyFont="1">
      <alignment horizontal="center" readingOrder="0" vertical="center"/>
    </xf>
    <xf borderId="2" fillId="9" fontId="5" numFmtId="0" xfId="0" applyAlignment="1" applyBorder="1" applyFont="1">
      <alignment horizontal="center" readingOrder="0" vertical="center"/>
    </xf>
    <xf borderId="2" fillId="21" fontId="5" numFmtId="0" xfId="0" applyAlignment="1" applyBorder="1" applyFont="1">
      <alignment horizontal="center" readingOrder="0" vertical="center"/>
    </xf>
    <xf borderId="1" fillId="19" fontId="5" numFmtId="0" xfId="0" applyBorder="1" applyFont="1"/>
    <xf borderId="0" fillId="0" fontId="5" numFmtId="0" xfId="0" applyAlignment="1" applyFont="1">
      <alignment horizontal="center"/>
    </xf>
    <xf borderId="0" fillId="24" fontId="5" numFmtId="0" xfId="0" applyFill="1" applyFont="1"/>
    <xf borderId="0" fillId="20" fontId="11" numFmtId="0" xfId="0" applyAlignment="1" applyFont="1">
      <alignment horizontal="center" readingOrder="0" vertical="center"/>
    </xf>
    <xf borderId="0" fillId="24" fontId="5" numFmtId="0" xfId="0" applyAlignment="1" applyFont="1">
      <alignment horizontal="center"/>
    </xf>
    <xf borderId="1" fillId="5" fontId="6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24" fontId="5" numFmtId="0" xfId="0" applyAlignment="1" applyFont="1">
      <alignment horizontal="center" readingOrder="0"/>
    </xf>
    <xf borderId="1" fillId="5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/>
    </xf>
    <xf borderId="1" fillId="4" fontId="5" numFmtId="0" xfId="0" applyAlignment="1" applyBorder="1" applyFont="1">
      <alignment horizontal="center" readingOrder="0"/>
    </xf>
    <xf borderId="0" fillId="24" fontId="5" numFmtId="0" xfId="0" applyAlignment="1" applyFont="1">
      <alignment horizontal="left" readingOrder="0"/>
    </xf>
    <xf borderId="0" fillId="23" fontId="5" numFmtId="0" xfId="0" applyAlignment="1" applyFont="1">
      <alignment horizontal="left" readingOrder="0"/>
    </xf>
    <xf borderId="1" fillId="16" fontId="5" numFmtId="0" xfId="0" applyAlignment="1" applyBorder="1" applyFont="1">
      <alignment horizontal="center" readingOrder="0"/>
    </xf>
    <xf borderId="1" fillId="25" fontId="5" numFmtId="0" xfId="0" applyAlignment="1" applyBorder="1" applyFill="1" applyFont="1">
      <alignment readingOrder="0"/>
    </xf>
    <xf borderId="1" fillId="25" fontId="5" numFmtId="0" xfId="0" applyAlignment="1" applyBorder="1" applyFont="1">
      <alignment horizontal="center" readingOrder="0"/>
    </xf>
    <xf borderId="1" fillId="26" fontId="5" numFmtId="0" xfId="0" applyAlignment="1" applyBorder="1" applyFill="1" applyFont="1">
      <alignment readingOrder="0"/>
    </xf>
    <xf borderId="1" fillId="26" fontId="5" numFmtId="0" xfId="0" applyAlignment="1" applyBorder="1" applyFont="1">
      <alignment horizontal="center" readingOrder="0"/>
    </xf>
    <xf borderId="0" fillId="0" fontId="12" numFmtId="0" xfId="0" applyAlignment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shrinkToFit="0" vertical="center" wrapText="0"/>
    </xf>
    <xf borderId="1" fillId="0" fontId="15" numFmtId="0" xfId="0" applyAlignment="1" applyBorder="1" applyFont="1">
      <alignment shrinkToFit="0" vertical="bottom" wrapText="0"/>
    </xf>
    <xf borderId="1" fillId="0" fontId="15" numFmtId="0" xfId="0" applyAlignment="1" applyBorder="1" applyFont="1">
      <alignment horizontal="center" shrinkToFit="0" vertical="bottom" wrapText="0"/>
    </xf>
    <xf borderId="1" fillId="0" fontId="12" numFmtId="0" xfId="0" applyBorder="1" applyFont="1"/>
    <xf borderId="1" fillId="0" fontId="15" numFmtId="0" xfId="0" applyAlignment="1" applyBorder="1" applyFont="1">
      <alignment horizontal="center" readingOrder="0" shrinkToFit="0" vertical="bottom" wrapText="0"/>
    </xf>
    <xf borderId="1" fillId="0" fontId="15" numFmtId="0" xfId="0" applyAlignment="1" applyBorder="1" applyFont="1">
      <alignment readingOrder="0" shrinkToFit="0" vertical="bottom" wrapText="0"/>
    </xf>
    <xf borderId="1" fillId="0" fontId="15" numFmtId="0" xfId="0" applyAlignment="1" applyBorder="1" applyFont="1">
      <alignment horizontal="center" shrinkToFit="0" vertical="center" wrapText="0"/>
    </xf>
    <xf borderId="1" fillId="0" fontId="16" numFmtId="0" xfId="0" applyAlignment="1" applyBorder="1" applyFont="1">
      <alignment horizontal="center" shrinkToFit="0" vertical="center" wrapText="0"/>
    </xf>
    <xf borderId="1" fillId="0" fontId="14" numFmtId="0" xfId="0" applyAlignment="1" applyBorder="1" applyFont="1">
      <alignment horizontal="center" readingOrder="0" shrinkToFit="0" vertical="center" wrapText="0"/>
    </xf>
    <xf borderId="1" fillId="0" fontId="15" numFmtId="0" xfId="0" applyAlignment="1" applyBorder="1" applyFont="1">
      <alignment horizontal="right" shrinkToFit="0" vertical="bottom" wrapText="0"/>
    </xf>
    <xf borderId="1" fillId="0" fontId="17" numFmtId="0" xfId="0" applyAlignment="1" applyBorder="1" applyFont="1">
      <alignment horizontal="center" vertical="center"/>
    </xf>
    <xf borderId="1" fillId="0" fontId="12" numFmtId="0" xfId="0" applyAlignment="1" applyBorder="1" applyFont="1">
      <alignment readingOrder="0"/>
    </xf>
    <xf borderId="1" fillId="0" fontId="12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/>
    </xf>
    <xf borderId="1" fillId="0" fontId="17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vertical="center"/>
    </xf>
    <xf borderId="0" fillId="0" fontId="12" numFmtId="0" xfId="0" applyAlignment="1" applyFont="1">
      <alignment horizontal="left" readingOrder="0" vertical="center"/>
    </xf>
    <xf borderId="0" fillId="0" fontId="12" numFmtId="0" xfId="0" applyAlignment="1" applyFont="1">
      <alignment horizontal="center"/>
    </xf>
    <xf borderId="0" fillId="0" fontId="18" numFmtId="0" xfId="0" applyAlignment="1" applyFont="1">
      <alignment horizontal="center"/>
    </xf>
    <xf borderId="0" fillId="0" fontId="18" numFmtId="0" xfId="0" applyFont="1"/>
    <xf borderId="0" fillId="0" fontId="18" numFmtId="0" xfId="0" applyAlignment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0" fontId="19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19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6" numFmtId="0" xfId="0" applyFont="1"/>
    <xf borderId="0" fillId="0" fontId="19" numFmtId="164" xfId="0" applyAlignment="1" applyFont="1" applyNumberFormat="1">
      <alignment horizontal="center" readingOrder="0"/>
    </xf>
    <xf borderId="0" fillId="0" fontId="20" numFmtId="0" xfId="0" applyAlignment="1" applyFont="1">
      <alignment horizontal="center" readingOrder="0"/>
    </xf>
    <xf borderId="0" fillId="0" fontId="17" numFmtId="21" xfId="0" applyAlignment="1" applyFont="1" applyNumberFormat="1">
      <alignment horizontal="center" readingOrder="0"/>
    </xf>
    <xf borderId="0" fillId="0" fontId="12" numFmtId="21" xfId="0" applyAlignment="1" applyFont="1" applyNumberFormat="1">
      <alignment horizontal="center" readingOrder="0"/>
    </xf>
    <xf borderId="0" fillId="0" fontId="2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714375</xdr:colOff>
      <xdr:row>2</xdr:row>
      <xdr:rowOff>66675</xdr:rowOff>
    </xdr:from>
    <xdr:ext cx="4876800" cy="3400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volventdesign.com/pages/gear-ratio-calculator?srsltid=AfmBOorcHJ1AHDwdleb0lrDJYIkry3GxTCYn_GHOenPLEUOGfKxU7l3e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QtOA9jp2I_BG-bUn0b-kvOUOmkIpDMk9/view?usp=drive_link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-gEwlWV03nHB3rCjuVDRuaePOtczeT8Z?usp=sharing" TargetMode="External"/><Relationship Id="rId2" Type="http://schemas.openxmlformats.org/officeDocument/2006/relationships/hyperlink" Target="https://drive.google.com/drive/folders/1-gEwlWV03nHB3rCjuVDRuaePOtczeT8Z?usp=sharing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7.5"/>
    <col customWidth="1" min="3" max="3" width="12.25"/>
    <col hidden="1" min="4" max="9" width="12.63"/>
    <col customWidth="1" min="10" max="10" width="1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11</v>
      </c>
    </row>
    <row r="3">
      <c r="A3" s="6" t="s">
        <v>12</v>
      </c>
      <c r="B3" s="7">
        <v>1.0</v>
      </c>
      <c r="C3" s="7">
        <v>3.0</v>
      </c>
      <c r="J3" s="8">
        <f t="shared" ref="J3:J21" si="1">sum(B3*10 + D3*7 + C3*10 - E3*4 - F3*5 - G3*9 - H3*3 - I3*7)</f>
        <v>40</v>
      </c>
    </row>
    <row r="4">
      <c r="A4" s="9" t="s">
        <v>13</v>
      </c>
      <c r="B4" s="7">
        <v>10.0</v>
      </c>
      <c r="C4" s="7">
        <v>3.0</v>
      </c>
      <c r="J4" s="8">
        <f t="shared" si="1"/>
        <v>130</v>
      </c>
      <c r="K4" s="7" t="s">
        <v>14</v>
      </c>
    </row>
    <row r="5">
      <c r="A5" s="6" t="s">
        <v>15</v>
      </c>
      <c r="B5" s="7">
        <v>10.0</v>
      </c>
      <c r="C5" s="7">
        <v>2.0</v>
      </c>
      <c r="J5" s="8">
        <f t="shared" si="1"/>
        <v>120</v>
      </c>
    </row>
    <row r="6">
      <c r="A6" s="6" t="s">
        <v>16</v>
      </c>
      <c r="J6" s="8">
        <f t="shared" si="1"/>
        <v>0</v>
      </c>
    </row>
    <row r="7">
      <c r="A7" s="9" t="s">
        <v>17</v>
      </c>
      <c r="J7" s="8">
        <f t="shared" si="1"/>
        <v>0</v>
      </c>
    </row>
    <row r="8">
      <c r="A8" s="6" t="s">
        <v>18</v>
      </c>
      <c r="J8" s="8">
        <f t="shared" si="1"/>
        <v>0</v>
      </c>
    </row>
    <row r="9">
      <c r="A9" s="6" t="s">
        <v>19</v>
      </c>
      <c r="J9" s="8">
        <f t="shared" si="1"/>
        <v>0</v>
      </c>
    </row>
    <row r="10">
      <c r="A10" s="6" t="s">
        <v>20</v>
      </c>
      <c r="J10" s="8">
        <f t="shared" si="1"/>
        <v>0</v>
      </c>
    </row>
    <row r="11">
      <c r="A11" s="6" t="s">
        <v>21</v>
      </c>
      <c r="J11" s="8">
        <f t="shared" si="1"/>
        <v>0</v>
      </c>
    </row>
    <row r="12">
      <c r="A12" s="6" t="s">
        <v>22</v>
      </c>
      <c r="J12" s="8">
        <f t="shared" si="1"/>
        <v>0</v>
      </c>
    </row>
    <row r="13">
      <c r="A13" s="9" t="s">
        <v>23</v>
      </c>
      <c r="J13" s="8">
        <f t="shared" si="1"/>
        <v>0</v>
      </c>
    </row>
    <row r="14">
      <c r="A14" s="6" t="s">
        <v>24</v>
      </c>
      <c r="J14" s="8">
        <f t="shared" si="1"/>
        <v>0</v>
      </c>
    </row>
    <row r="15">
      <c r="A15" s="6" t="s">
        <v>25</v>
      </c>
      <c r="J15" s="8">
        <f t="shared" si="1"/>
        <v>0</v>
      </c>
    </row>
    <row r="16">
      <c r="A16" s="6" t="s">
        <v>26</v>
      </c>
      <c r="J16" s="8">
        <f t="shared" si="1"/>
        <v>0</v>
      </c>
    </row>
    <row r="17">
      <c r="A17" s="6" t="s">
        <v>27</v>
      </c>
      <c r="J17" s="8">
        <f t="shared" si="1"/>
        <v>0</v>
      </c>
    </row>
    <row r="18">
      <c r="A18" s="6" t="s">
        <v>28</v>
      </c>
      <c r="J18" s="8">
        <f t="shared" si="1"/>
        <v>0</v>
      </c>
    </row>
    <row r="19">
      <c r="A19" s="6" t="s">
        <v>29</v>
      </c>
      <c r="J19" s="8">
        <f t="shared" si="1"/>
        <v>0</v>
      </c>
    </row>
    <row r="20">
      <c r="A20" s="6" t="s">
        <v>30</v>
      </c>
      <c r="J20" s="8">
        <f t="shared" si="1"/>
        <v>0</v>
      </c>
    </row>
    <row r="21">
      <c r="A21" s="6" t="s">
        <v>31</v>
      </c>
      <c r="J21" s="8">
        <f t="shared" si="1"/>
        <v>0</v>
      </c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  <row r="27">
      <c r="A27" s="6" t="s">
        <v>32</v>
      </c>
    </row>
    <row r="28">
      <c r="A28" s="10"/>
    </row>
    <row r="29">
      <c r="A29" s="6" t="s">
        <v>33</v>
      </c>
    </row>
    <row r="30">
      <c r="A30" s="6" t="s">
        <v>34</v>
      </c>
    </row>
    <row r="31">
      <c r="A31" s="6" t="s">
        <v>35</v>
      </c>
    </row>
    <row r="32">
      <c r="A32" s="6" t="s">
        <v>36</v>
      </c>
    </row>
    <row r="33">
      <c r="A33" s="6" t="s">
        <v>37</v>
      </c>
    </row>
    <row r="34">
      <c r="A34" s="6" t="s">
        <v>38</v>
      </c>
    </row>
    <row r="35">
      <c r="A35" s="6" t="s">
        <v>39</v>
      </c>
    </row>
    <row r="36">
      <c r="A36" s="6" t="s">
        <v>40</v>
      </c>
    </row>
    <row r="37">
      <c r="A37" s="6" t="s">
        <v>41</v>
      </c>
    </row>
    <row r="38">
      <c r="A38" s="6" t="s">
        <v>42</v>
      </c>
    </row>
    <row r="39">
      <c r="A39" s="6" t="s">
        <v>43</v>
      </c>
    </row>
    <row r="40">
      <c r="A40" s="6" t="s">
        <v>44</v>
      </c>
    </row>
    <row r="41">
      <c r="A41" s="6" t="s">
        <v>45</v>
      </c>
    </row>
    <row r="42">
      <c r="A42" s="10"/>
    </row>
    <row r="43">
      <c r="A43" s="10"/>
    </row>
    <row r="44">
      <c r="A44" s="10"/>
    </row>
    <row r="45">
      <c r="A45" s="6" t="s">
        <v>46</v>
      </c>
    </row>
    <row r="46">
      <c r="A46" s="10"/>
    </row>
    <row r="47">
      <c r="A47" s="10"/>
    </row>
    <row r="48">
      <c r="A48" s="6" t="s">
        <v>47</v>
      </c>
    </row>
    <row r="49">
      <c r="A49" s="6" t="s">
        <v>48</v>
      </c>
    </row>
    <row r="50">
      <c r="A50" s="10"/>
    </row>
    <row r="51">
      <c r="A51" s="6" t="s">
        <v>49</v>
      </c>
    </row>
    <row r="52">
      <c r="A52" s="6" t="s">
        <v>50</v>
      </c>
    </row>
    <row r="53">
      <c r="A53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2" width="11.13"/>
    <col customWidth="1" min="3" max="3" width="21.63"/>
    <col customWidth="1" min="4" max="4" width="15.38"/>
    <col customWidth="1" min="5" max="5" width="12.25"/>
    <col customWidth="1" min="9" max="9" width="11.75"/>
    <col customWidth="1" min="10" max="10" width="18.13"/>
    <col customWidth="1" min="11" max="12" width="12.0"/>
    <col customWidth="1" min="13" max="13" width="38.63"/>
    <col customWidth="1" min="14" max="14" width="29.13"/>
    <col customWidth="1" min="15" max="15" width="25.75"/>
    <col customWidth="1" min="16" max="16" width="23.13"/>
    <col customWidth="1" min="17" max="17" width="26.38"/>
  </cols>
  <sheetData>
    <row r="1">
      <c r="A1" s="11" t="s">
        <v>51</v>
      </c>
      <c r="B1" s="12" t="s">
        <v>52</v>
      </c>
      <c r="C1" s="12" t="s">
        <v>53</v>
      </c>
      <c r="E1" s="12" t="s">
        <v>54</v>
      </c>
      <c r="F1" s="12" t="s">
        <v>55</v>
      </c>
      <c r="G1" s="13"/>
      <c r="H1" s="14" t="s">
        <v>56</v>
      </c>
      <c r="I1" s="15" t="s">
        <v>57</v>
      </c>
      <c r="J1" s="13"/>
      <c r="K1" s="13"/>
      <c r="L1" s="13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</row>
    <row r="2">
      <c r="A2" s="17">
        <v>1.0</v>
      </c>
      <c r="B2" s="17">
        <v>100.0</v>
      </c>
      <c r="C2" s="17">
        <v>0.0178</v>
      </c>
      <c r="E2" s="17" t="s">
        <v>58</v>
      </c>
      <c r="F2" s="17">
        <v>32.0</v>
      </c>
      <c r="G2" s="13"/>
      <c r="H2" s="13"/>
      <c r="I2" s="13"/>
      <c r="J2" s="13"/>
      <c r="K2" s="13"/>
      <c r="L2" s="13"/>
      <c r="M2" s="16"/>
      <c r="R2" s="16"/>
      <c r="U2" s="16"/>
      <c r="V2" s="13"/>
      <c r="W2" s="13" t="s">
        <v>59</v>
      </c>
      <c r="X2" s="13"/>
      <c r="Y2" s="16"/>
      <c r="Z2" s="16"/>
      <c r="AA2" s="16"/>
      <c r="AB2" s="16"/>
      <c r="AC2" s="16"/>
      <c r="AD2" s="16"/>
      <c r="AE2" s="16"/>
    </row>
    <row r="3">
      <c r="A3" s="17">
        <v>2.0</v>
      </c>
      <c r="B3" s="17">
        <v>66.0</v>
      </c>
      <c r="C3" s="17">
        <v>0.0111</v>
      </c>
      <c r="E3" s="17" t="s">
        <v>60</v>
      </c>
      <c r="F3" s="17">
        <v>32.0</v>
      </c>
      <c r="G3" s="13"/>
      <c r="H3" s="13"/>
      <c r="I3" s="13"/>
      <c r="J3" s="13"/>
      <c r="K3" s="13"/>
      <c r="L3" s="13"/>
      <c r="M3" s="16"/>
      <c r="R3" s="16"/>
      <c r="U3" s="16"/>
      <c r="V3" s="13"/>
      <c r="W3" s="13"/>
      <c r="X3" s="16"/>
      <c r="Y3" s="16"/>
      <c r="Z3" s="16"/>
      <c r="AA3" s="16"/>
      <c r="AB3" s="16"/>
      <c r="AC3" s="16"/>
      <c r="AD3" s="16"/>
      <c r="AE3" s="16"/>
    </row>
    <row r="4">
      <c r="A4" s="17">
        <v>3.0</v>
      </c>
      <c r="B4" s="17">
        <v>60.0</v>
      </c>
      <c r="C4" s="17">
        <v>0.0103</v>
      </c>
      <c r="E4" s="17" t="s">
        <v>61</v>
      </c>
      <c r="F4" s="17">
        <v>16.0</v>
      </c>
      <c r="G4" s="13"/>
      <c r="H4" s="13"/>
      <c r="I4" s="13"/>
      <c r="J4" s="13"/>
      <c r="K4" s="13"/>
      <c r="L4" s="13"/>
      <c r="M4" s="16"/>
      <c r="R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</row>
    <row r="5">
      <c r="A5" s="17">
        <v>4.0</v>
      </c>
      <c r="B5" s="17">
        <v>75.0</v>
      </c>
      <c r="C5" s="17"/>
      <c r="E5" s="17" t="s">
        <v>62</v>
      </c>
      <c r="F5" s="18">
        <v>11.0</v>
      </c>
      <c r="G5" s="13"/>
      <c r="H5" s="13"/>
      <c r="I5" s="13"/>
      <c r="J5" s="13"/>
      <c r="K5" s="13"/>
      <c r="L5" s="13"/>
      <c r="M5" s="16"/>
      <c r="R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</row>
    <row r="6">
      <c r="A6" s="17">
        <v>5.0</v>
      </c>
      <c r="B6" s="17">
        <v>85.0</v>
      </c>
      <c r="C6" s="17"/>
      <c r="E6" s="17" t="s">
        <v>63</v>
      </c>
      <c r="F6" s="17">
        <v>5000.0</v>
      </c>
      <c r="G6" s="13"/>
      <c r="H6" s="13"/>
      <c r="I6" s="13"/>
      <c r="J6" s="13"/>
      <c r="K6" s="13"/>
      <c r="L6" s="13"/>
      <c r="M6" s="16"/>
      <c r="R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</row>
    <row r="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6"/>
      <c r="R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</row>
    <row r="8">
      <c r="A8" s="19" t="s">
        <v>51</v>
      </c>
      <c r="B8" s="19" t="s">
        <v>52</v>
      </c>
      <c r="C8" s="19" t="s">
        <v>64</v>
      </c>
      <c r="D8" s="19" t="s">
        <v>65</v>
      </c>
      <c r="E8" s="19" t="s">
        <v>66</v>
      </c>
      <c r="F8" s="19" t="s">
        <v>67</v>
      </c>
      <c r="G8" s="19" t="s">
        <v>68</v>
      </c>
      <c r="H8" s="19" t="s">
        <v>69</v>
      </c>
      <c r="I8" s="19" t="s">
        <v>70</v>
      </c>
      <c r="J8" s="19" t="s">
        <v>71</v>
      </c>
      <c r="K8" s="19" t="s">
        <v>72</v>
      </c>
      <c r="L8" s="19" t="s">
        <v>73</v>
      </c>
      <c r="M8" s="20" t="s">
        <v>74</v>
      </c>
      <c r="N8" s="20" t="s">
        <v>75</v>
      </c>
      <c r="O8" s="20" t="s">
        <v>76</v>
      </c>
      <c r="P8" s="20" t="s">
        <v>77</v>
      </c>
      <c r="Q8" s="20" t="s">
        <v>78</v>
      </c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</row>
    <row r="9">
      <c r="A9" s="17">
        <v>1.0</v>
      </c>
      <c r="B9" s="17">
        <v>66.0</v>
      </c>
      <c r="C9" s="17">
        <v>100.0</v>
      </c>
      <c r="D9" s="17">
        <v>0.0</v>
      </c>
      <c r="E9" s="17">
        <v>540.0</v>
      </c>
      <c r="F9" s="21">
        <f t="shared" ref="F9:F25" si="1">C$3</f>
        <v>0.0111</v>
      </c>
      <c r="G9" s="21">
        <f t="shared" ref="G9:G55" si="2">D9*F9</f>
        <v>0</v>
      </c>
      <c r="H9" s="21">
        <f t="shared" ref="H9:H73" si="3">E9*F9</f>
        <v>5.994</v>
      </c>
      <c r="I9" s="21">
        <f t="shared" ref="I9:I55" si="4">(G9+H9)/2</f>
        <v>2.997</v>
      </c>
      <c r="J9" s="22">
        <f t="shared" ref="J9:J48" si="5">F9*C9</f>
        <v>1.11</v>
      </c>
      <c r="K9" s="17">
        <v>11.0</v>
      </c>
      <c r="L9" s="17">
        <v>1.2</v>
      </c>
      <c r="M9" s="16"/>
      <c r="N9" s="13" t="s">
        <v>79</v>
      </c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</row>
    <row r="10">
      <c r="A10" s="17">
        <f t="shared" ref="A10:A115" si="6">A9+1</f>
        <v>2</v>
      </c>
      <c r="B10" s="17">
        <v>66.0</v>
      </c>
      <c r="C10" s="17">
        <v>500.0</v>
      </c>
      <c r="D10" s="23">
        <v>0.0</v>
      </c>
      <c r="E10" s="17">
        <v>1080.0</v>
      </c>
      <c r="F10" s="21">
        <f t="shared" si="1"/>
        <v>0.0111</v>
      </c>
      <c r="G10" s="21">
        <f t="shared" si="2"/>
        <v>0</v>
      </c>
      <c r="H10" s="21">
        <f t="shared" si="3"/>
        <v>11.988</v>
      </c>
      <c r="I10" s="21">
        <f t="shared" si="4"/>
        <v>5.994</v>
      </c>
      <c r="J10" s="22">
        <f t="shared" si="5"/>
        <v>5.55</v>
      </c>
      <c r="K10" s="17">
        <v>11.0</v>
      </c>
      <c r="L10" s="17">
        <v>5.6</v>
      </c>
      <c r="M10" s="16"/>
      <c r="N10" s="13" t="s">
        <v>79</v>
      </c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</row>
    <row r="11">
      <c r="A11" s="17">
        <f t="shared" si="6"/>
        <v>3</v>
      </c>
      <c r="B11" s="17">
        <v>66.0</v>
      </c>
      <c r="C11" s="24">
        <v>1000.0</v>
      </c>
      <c r="D11" s="17">
        <v>600.0</v>
      </c>
      <c r="E11" s="17">
        <v>1200.0</v>
      </c>
      <c r="F11" s="21">
        <f t="shared" si="1"/>
        <v>0.0111</v>
      </c>
      <c r="G11" s="21">
        <f t="shared" si="2"/>
        <v>6.66</v>
      </c>
      <c r="H11" s="21">
        <f t="shared" si="3"/>
        <v>13.32</v>
      </c>
      <c r="I11" s="21">
        <f t="shared" si="4"/>
        <v>9.99</v>
      </c>
      <c r="J11" s="21">
        <f t="shared" si="5"/>
        <v>11.1</v>
      </c>
      <c r="K11" s="17">
        <v>10.0</v>
      </c>
      <c r="L11" s="17">
        <v>10.0</v>
      </c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</row>
    <row r="12">
      <c r="A12" s="17">
        <f t="shared" si="6"/>
        <v>4</v>
      </c>
      <c r="B12" s="17">
        <v>66.0</v>
      </c>
      <c r="C12" s="24">
        <v>1000.0</v>
      </c>
      <c r="D12" s="25">
        <v>540.0</v>
      </c>
      <c r="E12" s="26">
        <v>1080.0</v>
      </c>
      <c r="F12" s="21">
        <f t="shared" si="1"/>
        <v>0.0111</v>
      </c>
      <c r="G12" s="21">
        <f t="shared" si="2"/>
        <v>5.994</v>
      </c>
      <c r="H12" s="21">
        <f t="shared" si="3"/>
        <v>11.988</v>
      </c>
      <c r="I12" s="21">
        <f t="shared" si="4"/>
        <v>8.991</v>
      </c>
      <c r="J12" s="22">
        <f t="shared" si="5"/>
        <v>11.1</v>
      </c>
      <c r="K12" s="17">
        <v>11.0</v>
      </c>
      <c r="L12" s="27">
        <v>11.2</v>
      </c>
      <c r="M12" s="28" t="s">
        <v>80</v>
      </c>
      <c r="N12" s="13">
        <v>8.99</v>
      </c>
      <c r="O12" s="16"/>
      <c r="P12" s="16">
        <f>L12-N12</f>
        <v>2.21</v>
      </c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</row>
    <row r="13">
      <c r="A13" s="17">
        <f t="shared" si="6"/>
        <v>5</v>
      </c>
      <c r="B13" s="17">
        <v>66.0</v>
      </c>
      <c r="C13" s="24">
        <v>1000.0</v>
      </c>
      <c r="D13" s="17">
        <v>990.0</v>
      </c>
      <c r="E13" s="17">
        <v>1500.0</v>
      </c>
      <c r="F13" s="21">
        <f t="shared" si="1"/>
        <v>0.0111</v>
      </c>
      <c r="G13" s="21">
        <f t="shared" si="2"/>
        <v>10.989</v>
      </c>
      <c r="H13" s="21">
        <f t="shared" si="3"/>
        <v>16.65</v>
      </c>
      <c r="I13" s="21">
        <f t="shared" si="4"/>
        <v>13.8195</v>
      </c>
      <c r="J13" s="21">
        <f t="shared" si="5"/>
        <v>11.1</v>
      </c>
      <c r="K13" s="17">
        <v>12.0</v>
      </c>
      <c r="L13" s="17">
        <v>12.1</v>
      </c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</row>
    <row r="14">
      <c r="A14" s="17">
        <f t="shared" si="6"/>
        <v>6</v>
      </c>
      <c r="B14" s="17">
        <v>66.0</v>
      </c>
      <c r="C14" s="17">
        <v>1500.0</v>
      </c>
      <c r="D14" s="29">
        <v>1080.0</v>
      </c>
      <c r="E14" s="30">
        <v>1635.0</v>
      </c>
      <c r="F14" s="21">
        <f t="shared" si="1"/>
        <v>0.0111</v>
      </c>
      <c r="G14" s="21">
        <f t="shared" si="2"/>
        <v>11.988</v>
      </c>
      <c r="H14" s="21">
        <f t="shared" si="3"/>
        <v>18.1485</v>
      </c>
      <c r="I14" s="31">
        <f t="shared" si="4"/>
        <v>15.06825</v>
      </c>
      <c r="J14" s="22">
        <f t="shared" si="5"/>
        <v>16.65</v>
      </c>
      <c r="K14" s="17">
        <v>11.0</v>
      </c>
      <c r="L14" s="27">
        <v>16.8</v>
      </c>
      <c r="M14" s="32" t="s">
        <v>81</v>
      </c>
      <c r="N14" s="13">
        <v>15.07</v>
      </c>
      <c r="O14" s="16"/>
      <c r="P14" s="16">
        <f t="shared" ref="P14:P15" si="7">L14-N14</f>
        <v>1.73</v>
      </c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</row>
    <row r="15">
      <c r="A15" s="17">
        <f t="shared" si="6"/>
        <v>7</v>
      </c>
      <c r="B15" s="17">
        <v>66.0</v>
      </c>
      <c r="C15" s="17">
        <v>2000.0</v>
      </c>
      <c r="D15" s="17">
        <v>1635.0</v>
      </c>
      <c r="E15" s="17">
        <v>2175.0</v>
      </c>
      <c r="F15" s="21">
        <f t="shared" si="1"/>
        <v>0.0111</v>
      </c>
      <c r="G15" s="21">
        <f t="shared" si="2"/>
        <v>18.1485</v>
      </c>
      <c r="H15" s="21">
        <f t="shared" si="3"/>
        <v>24.1425</v>
      </c>
      <c r="I15" s="33">
        <f t="shared" si="4"/>
        <v>21.1455</v>
      </c>
      <c r="J15" s="22">
        <f t="shared" si="5"/>
        <v>22.2</v>
      </c>
      <c r="K15" s="17">
        <v>11.0</v>
      </c>
      <c r="L15" s="27">
        <v>22.0</v>
      </c>
      <c r="M15" s="16"/>
      <c r="N15" s="13">
        <v>21.15</v>
      </c>
      <c r="O15" s="16"/>
      <c r="P15" s="16">
        <f t="shared" si="7"/>
        <v>0.85</v>
      </c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</row>
    <row r="16">
      <c r="A16" s="17">
        <f t="shared" si="6"/>
        <v>8</v>
      </c>
      <c r="B16" s="17">
        <v>66.0</v>
      </c>
      <c r="C16" s="24">
        <v>2500.0</v>
      </c>
      <c r="D16" s="17">
        <v>2400.0</v>
      </c>
      <c r="E16" s="17">
        <v>3000.0</v>
      </c>
      <c r="F16" s="21">
        <f t="shared" si="1"/>
        <v>0.0111</v>
      </c>
      <c r="G16" s="21">
        <f t="shared" si="2"/>
        <v>26.64</v>
      </c>
      <c r="H16" s="21">
        <f t="shared" si="3"/>
        <v>33.3</v>
      </c>
      <c r="I16" s="21">
        <f t="shared" si="4"/>
        <v>29.97</v>
      </c>
      <c r="J16" s="21">
        <f t="shared" si="5"/>
        <v>27.75</v>
      </c>
      <c r="K16" s="17">
        <v>10.0</v>
      </c>
      <c r="L16" s="17">
        <v>25.5</v>
      </c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</row>
    <row r="17">
      <c r="A17" s="17">
        <f t="shared" si="6"/>
        <v>9</v>
      </c>
      <c r="B17" s="17">
        <v>66.0</v>
      </c>
      <c r="C17" s="24">
        <v>2500.0</v>
      </c>
      <c r="D17" s="17">
        <v>2175.0</v>
      </c>
      <c r="E17" s="17">
        <v>2715.0</v>
      </c>
      <c r="F17" s="21">
        <f t="shared" si="1"/>
        <v>0.0111</v>
      </c>
      <c r="G17" s="21">
        <f t="shared" si="2"/>
        <v>24.1425</v>
      </c>
      <c r="H17" s="21">
        <f t="shared" si="3"/>
        <v>30.1365</v>
      </c>
      <c r="I17" s="33">
        <f t="shared" si="4"/>
        <v>27.1395</v>
      </c>
      <c r="J17" s="22">
        <f t="shared" si="5"/>
        <v>27.75</v>
      </c>
      <c r="K17" s="17">
        <v>11.0</v>
      </c>
      <c r="L17" s="27">
        <v>28.0</v>
      </c>
      <c r="M17" s="16"/>
      <c r="N17" s="13">
        <v>27.14</v>
      </c>
      <c r="O17" s="16"/>
      <c r="P17" s="16">
        <f>L17-N17</f>
        <v>0.86</v>
      </c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</row>
    <row r="18">
      <c r="A18" s="17">
        <f t="shared" si="6"/>
        <v>10</v>
      </c>
      <c r="B18" s="17">
        <v>66.0</v>
      </c>
      <c r="C18" s="24">
        <v>2500.0</v>
      </c>
      <c r="D18" s="34">
        <v>1995.0</v>
      </c>
      <c r="E18" s="17">
        <v>3000.0</v>
      </c>
      <c r="F18" s="21">
        <f t="shared" si="1"/>
        <v>0.0111</v>
      </c>
      <c r="G18" s="21">
        <f t="shared" si="2"/>
        <v>22.1445</v>
      </c>
      <c r="H18" s="21">
        <f t="shared" si="3"/>
        <v>33.3</v>
      </c>
      <c r="I18" s="21">
        <f t="shared" si="4"/>
        <v>27.72225</v>
      </c>
      <c r="J18" s="21">
        <f t="shared" si="5"/>
        <v>27.75</v>
      </c>
      <c r="K18" s="17">
        <v>12.0</v>
      </c>
      <c r="L18" s="17">
        <v>30.8</v>
      </c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</row>
    <row r="19">
      <c r="A19" s="17">
        <f t="shared" si="6"/>
        <v>11</v>
      </c>
      <c r="B19" s="17">
        <v>66.0</v>
      </c>
      <c r="C19" s="17">
        <v>3000.0</v>
      </c>
      <c r="D19" s="17">
        <v>2715.0</v>
      </c>
      <c r="E19" s="17">
        <v>3270.0</v>
      </c>
      <c r="F19" s="21">
        <f t="shared" si="1"/>
        <v>0.0111</v>
      </c>
      <c r="G19" s="21">
        <f t="shared" si="2"/>
        <v>30.1365</v>
      </c>
      <c r="H19" s="21">
        <f t="shared" si="3"/>
        <v>36.297</v>
      </c>
      <c r="I19" s="33">
        <f t="shared" si="4"/>
        <v>33.21675</v>
      </c>
      <c r="J19" s="22">
        <f t="shared" si="5"/>
        <v>33.3</v>
      </c>
      <c r="K19" s="17">
        <v>11.0</v>
      </c>
      <c r="L19" s="35">
        <v>33.5</v>
      </c>
      <c r="M19" s="16"/>
      <c r="N19" s="13">
        <v>33.22</v>
      </c>
      <c r="O19" s="16"/>
      <c r="P19" s="16">
        <f t="shared" ref="P19:P22" si="8">L19-N19</f>
        <v>0.28</v>
      </c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</row>
    <row r="20">
      <c r="A20" s="17">
        <f t="shared" si="6"/>
        <v>12</v>
      </c>
      <c r="B20" s="17">
        <v>66.0</v>
      </c>
      <c r="C20" s="17">
        <v>3500.0</v>
      </c>
      <c r="D20" s="17">
        <v>3270.0</v>
      </c>
      <c r="E20" s="17">
        <v>3810.0</v>
      </c>
      <c r="F20" s="21">
        <f t="shared" si="1"/>
        <v>0.0111</v>
      </c>
      <c r="G20" s="21">
        <f t="shared" si="2"/>
        <v>36.297</v>
      </c>
      <c r="H20" s="21">
        <f t="shared" si="3"/>
        <v>42.291</v>
      </c>
      <c r="I20" s="33">
        <f t="shared" si="4"/>
        <v>39.294</v>
      </c>
      <c r="J20" s="22">
        <f t="shared" si="5"/>
        <v>38.85</v>
      </c>
      <c r="K20" s="17">
        <v>11.0</v>
      </c>
      <c r="L20" s="35">
        <v>39.0</v>
      </c>
      <c r="M20" s="16"/>
      <c r="N20" s="13">
        <v>39.29</v>
      </c>
      <c r="O20" s="16"/>
      <c r="P20" s="16">
        <f t="shared" si="8"/>
        <v>-0.29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</row>
    <row r="21">
      <c r="A21" s="17">
        <f t="shared" si="6"/>
        <v>13</v>
      </c>
      <c r="B21" s="17">
        <v>66.0</v>
      </c>
      <c r="C21" s="17">
        <v>4000.0</v>
      </c>
      <c r="D21" s="17">
        <v>3810.0</v>
      </c>
      <c r="E21" s="17">
        <v>4350.0</v>
      </c>
      <c r="F21" s="21">
        <f t="shared" si="1"/>
        <v>0.0111</v>
      </c>
      <c r="G21" s="21">
        <f t="shared" si="2"/>
        <v>42.291</v>
      </c>
      <c r="H21" s="21">
        <f t="shared" si="3"/>
        <v>48.285</v>
      </c>
      <c r="I21" s="21">
        <f t="shared" si="4"/>
        <v>45.288</v>
      </c>
      <c r="J21" s="21">
        <f t="shared" si="5"/>
        <v>44.4</v>
      </c>
      <c r="K21" s="17">
        <v>11.0</v>
      </c>
      <c r="L21" s="17">
        <v>44.5</v>
      </c>
      <c r="M21" s="16"/>
      <c r="N21" s="13">
        <v>45.29</v>
      </c>
      <c r="O21" s="16"/>
      <c r="P21" s="16">
        <f t="shared" si="8"/>
        <v>-0.79</v>
      </c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</row>
    <row r="22">
      <c r="A22" s="17">
        <f t="shared" si="6"/>
        <v>14</v>
      </c>
      <c r="B22" s="17">
        <v>66.0</v>
      </c>
      <c r="C22" s="17">
        <v>4500.0</v>
      </c>
      <c r="D22" s="17">
        <v>4350.0</v>
      </c>
      <c r="E22" s="17">
        <v>4905.0</v>
      </c>
      <c r="F22" s="21">
        <f t="shared" si="1"/>
        <v>0.0111</v>
      </c>
      <c r="G22" s="21">
        <f t="shared" si="2"/>
        <v>48.285</v>
      </c>
      <c r="H22" s="21">
        <f t="shared" si="3"/>
        <v>54.4455</v>
      </c>
      <c r="I22" s="21">
        <f t="shared" si="4"/>
        <v>51.36525</v>
      </c>
      <c r="J22" s="21">
        <f t="shared" si="5"/>
        <v>49.95</v>
      </c>
      <c r="K22" s="17">
        <v>11.0</v>
      </c>
      <c r="L22" s="17">
        <v>55.0</v>
      </c>
      <c r="M22" s="16"/>
      <c r="N22" s="13">
        <v>51.37</v>
      </c>
      <c r="O22" s="16"/>
      <c r="P22" s="16">
        <f t="shared" si="8"/>
        <v>3.63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</row>
    <row r="23">
      <c r="A23" s="17">
        <f t="shared" si="6"/>
        <v>15</v>
      </c>
      <c r="B23" s="17">
        <v>66.0</v>
      </c>
      <c r="C23" s="36">
        <v>5000.0</v>
      </c>
      <c r="D23" s="17">
        <v>4800.0</v>
      </c>
      <c r="E23" s="17">
        <v>5400.0</v>
      </c>
      <c r="F23" s="21">
        <f t="shared" si="1"/>
        <v>0.0111</v>
      </c>
      <c r="G23" s="21">
        <f t="shared" si="2"/>
        <v>53.28</v>
      </c>
      <c r="H23" s="21">
        <f t="shared" si="3"/>
        <v>59.94</v>
      </c>
      <c r="I23" s="21">
        <f t="shared" si="4"/>
        <v>56.61</v>
      </c>
      <c r="J23" s="21">
        <f t="shared" si="5"/>
        <v>55.5</v>
      </c>
      <c r="K23" s="17">
        <v>10.0</v>
      </c>
      <c r="L23" s="17">
        <v>50.0</v>
      </c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</row>
    <row r="24">
      <c r="A24" s="17">
        <f t="shared" si="6"/>
        <v>16</v>
      </c>
      <c r="B24" s="17">
        <v>66.0</v>
      </c>
      <c r="C24" s="36">
        <v>5000.0</v>
      </c>
      <c r="D24" s="17">
        <v>5445.0</v>
      </c>
      <c r="E24" s="17">
        <v>4905.0</v>
      </c>
      <c r="F24" s="21">
        <f t="shared" si="1"/>
        <v>0.0111</v>
      </c>
      <c r="G24" s="21">
        <f t="shared" si="2"/>
        <v>60.4395</v>
      </c>
      <c r="H24" s="21">
        <f t="shared" si="3"/>
        <v>54.4455</v>
      </c>
      <c r="I24" s="33">
        <f t="shared" si="4"/>
        <v>57.4425</v>
      </c>
      <c r="J24" s="22">
        <f t="shared" si="5"/>
        <v>55.5</v>
      </c>
      <c r="K24" s="17">
        <v>11.0</v>
      </c>
      <c r="L24" s="27">
        <v>56.0</v>
      </c>
      <c r="M24" s="16"/>
      <c r="N24" s="13">
        <v>57.44</v>
      </c>
      <c r="O24" s="16"/>
      <c r="P24" s="16">
        <f>L24-N24</f>
        <v>-1.44</v>
      </c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</row>
    <row r="25">
      <c r="A25" s="17">
        <f t="shared" si="6"/>
        <v>17</v>
      </c>
      <c r="B25" s="17">
        <v>66.0</v>
      </c>
      <c r="C25" s="36">
        <v>5000.0</v>
      </c>
      <c r="D25" s="17">
        <v>4995.0</v>
      </c>
      <c r="E25" s="17">
        <v>4995.0</v>
      </c>
      <c r="F25" s="21">
        <f t="shared" si="1"/>
        <v>0.0111</v>
      </c>
      <c r="G25" s="21">
        <f t="shared" si="2"/>
        <v>55.4445</v>
      </c>
      <c r="H25" s="21">
        <f t="shared" si="3"/>
        <v>55.4445</v>
      </c>
      <c r="I25" s="21">
        <f t="shared" si="4"/>
        <v>55.4445</v>
      </c>
      <c r="J25" s="21">
        <f t="shared" si="5"/>
        <v>55.5</v>
      </c>
      <c r="K25" s="17">
        <v>12.0</v>
      </c>
      <c r="L25" s="17">
        <v>61.0</v>
      </c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</row>
    <row r="26">
      <c r="A26" s="17">
        <f t="shared" si="6"/>
        <v>18</v>
      </c>
      <c r="B26" s="17">
        <v>66.0</v>
      </c>
      <c r="C26" s="37">
        <v>5500.0</v>
      </c>
      <c r="D26" s="38">
        <v>5445.0</v>
      </c>
      <c r="E26" s="38">
        <v>6000.0</v>
      </c>
      <c r="F26" s="17">
        <v>0.0111</v>
      </c>
      <c r="G26" s="21">
        <f t="shared" si="2"/>
        <v>60.4395</v>
      </c>
      <c r="H26" s="21">
        <f t="shared" si="3"/>
        <v>66.6</v>
      </c>
      <c r="I26" s="33">
        <f t="shared" si="4"/>
        <v>63.51975</v>
      </c>
      <c r="J26" s="22">
        <f t="shared" si="5"/>
        <v>61.05</v>
      </c>
      <c r="K26" s="17">
        <v>11.0</v>
      </c>
      <c r="L26" s="27">
        <v>61.2</v>
      </c>
      <c r="M26" s="16"/>
      <c r="O26" s="39">
        <f>(54.45+60.44)/2</f>
        <v>57.445</v>
      </c>
      <c r="Q26" s="16">
        <f>L26-O26</f>
        <v>3.755</v>
      </c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</row>
    <row r="27">
      <c r="A27" s="17">
        <f t="shared" si="6"/>
        <v>19</v>
      </c>
      <c r="B27" s="17">
        <v>66.0</v>
      </c>
      <c r="C27" s="36">
        <v>6000.0</v>
      </c>
      <c r="D27" s="17">
        <v>6000.0</v>
      </c>
      <c r="E27" s="17">
        <v>6000.0</v>
      </c>
      <c r="F27" s="21">
        <f t="shared" ref="F27:F33" si="9">C$3</f>
        <v>0.0111</v>
      </c>
      <c r="G27" s="21">
        <f t="shared" si="2"/>
        <v>66.6</v>
      </c>
      <c r="H27" s="21">
        <f t="shared" si="3"/>
        <v>66.6</v>
      </c>
      <c r="I27" s="21">
        <f t="shared" si="4"/>
        <v>66.6</v>
      </c>
      <c r="J27" s="21">
        <f t="shared" si="5"/>
        <v>66.6</v>
      </c>
      <c r="K27" s="17">
        <v>10.0</v>
      </c>
      <c r="L27" s="17">
        <v>61.0</v>
      </c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</row>
    <row r="28">
      <c r="A28" s="17">
        <f t="shared" si="6"/>
        <v>20</v>
      </c>
      <c r="B28" s="17">
        <v>66.0</v>
      </c>
      <c r="C28" s="36">
        <v>6000.0</v>
      </c>
      <c r="D28" s="38">
        <v>5445.0</v>
      </c>
      <c r="E28" s="38">
        <v>6000.0</v>
      </c>
      <c r="F28" s="21">
        <f t="shared" si="9"/>
        <v>0.0111</v>
      </c>
      <c r="G28" s="21">
        <f t="shared" si="2"/>
        <v>60.4395</v>
      </c>
      <c r="H28" s="21">
        <f t="shared" si="3"/>
        <v>66.6</v>
      </c>
      <c r="I28" s="33">
        <f t="shared" si="4"/>
        <v>63.51975</v>
      </c>
      <c r="J28" s="22">
        <f t="shared" si="5"/>
        <v>66.6</v>
      </c>
      <c r="K28" s="17">
        <v>11.0</v>
      </c>
      <c r="L28" s="27">
        <v>67.0</v>
      </c>
      <c r="M28" s="28" t="s">
        <v>82</v>
      </c>
      <c r="N28" s="16"/>
      <c r="O28" s="32">
        <f>(54.45+60.44)/2</f>
        <v>57.445</v>
      </c>
      <c r="Q28" s="16">
        <f>L28-O28</f>
        <v>9.555</v>
      </c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</row>
    <row r="29">
      <c r="A29" s="17">
        <f t="shared" si="6"/>
        <v>21</v>
      </c>
      <c r="B29" s="17">
        <v>66.0</v>
      </c>
      <c r="C29" s="36">
        <v>6000.0</v>
      </c>
      <c r="D29" s="17">
        <v>5490.0</v>
      </c>
      <c r="E29" s="17">
        <v>6000.0</v>
      </c>
      <c r="F29" s="21">
        <f t="shared" si="9"/>
        <v>0.0111</v>
      </c>
      <c r="G29" s="21">
        <f t="shared" si="2"/>
        <v>60.939</v>
      </c>
      <c r="H29" s="21">
        <f t="shared" si="3"/>
        <v>66.6</v>
      </c>
      <c r="I29" s="21">
        <f t="shared" si="4"/>
        <v>63.7695</v>
      </c>
      <c r="J29" s="21">
        <f t="shared" si="5"/>
        <v>66.6</v>
      </c>
      <c r="K29" s="17">
        <v>12.0</v>
      </c>
      <c r="L29" s="17">
        <v>69.0</v>
      </c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</row>
    <row r="30">
      <c r="A30" s="17">
        <f t="shared" si="6"/>
        <v>22</v>
      </c>
      <c r="B30" s="17">
        <v>66.0</v>
      </c>
      <c r="C30" s="37">
        <v>6500.0</v>
      </c>
      <c r="D30" s="17">
        <v>6000.0</v>
      </c>
      <c r="E30" s="17">
        <v>6540.0</v>
      </c>
      <c r="F30" s="21">
        <f t="shared" si="9"/>
        <v>0.0111</v>
      </c>
      <c r="G30" s="21">
        <f t="shared" si="2"/>
        <v>66.6</v>
      </c>
      <c r="H30" s="21">
        <f t="shared" si="3"/>
        <v>72.594</v>
      </c>
      <c r="I30" s="40">
        <f t="shared" si="4"/>
        <v>69.597</v>
      </c>
      <c r="J30" s="22">
        <f t="shared" si="5"/>
        <v>72.15</v>
      </c>
      <c r="K30" s="17">
        <v>11.0</v>
      </c>
      <c r="L30" s="35">
        <v>72.8</v>
      </c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</row>
    <row r="31">
      <c r="A31" s="17">
        <f t="shared" si="6"/>
        <v>23</v>
      </c>
      <c r="B31" s="17">
        <v>66.0</v>
      </c>
      <c r="C31" s="36">
        <v>7500.0</v>
      </c>
      <c r="D31" s="17">
        <v>6600.0</v>
      </c>
      <c r="E31" s="17">
        <v>7200.0</v>
      </c>
      <c r="F31" s="21">
        <f t="shared" si="9"/>
        <v>0.0111</v>
      </c>
      <c r="G31" s="21">
        <f t="shared" si="2"/>
        <v>73.26</v>
      </c>
      <c r="H31" s="21">
        <f t="shared" si="3"/>
        <v>79.92</v>
      </c>
      <c r="I31" s="21">
        <f t="shared" si="4"/>
        <v>76.59</v>
      </c>
      <c r="J31" s="21">
        <f t="shared" si="5"/>
        <v>83.25</v>
      </c>
      <c r="K31" s="17">
        <v>10.0</v>
      </c>
      <c r="L31" s="17">
        <v>70.0</v>
      </c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</row>
    <row r="32">
      <c r="A32" s="17">
        <f t="shared" si="6"/>
        <v>24</v>
      </c>
      <c r="B32" s="17">
        <v>66.0</v>
      </c>
      <c r="C32" s="23">
        <v>7500.0</v>
      </c>
      <c r="D32" s="17">
        <v>6000.0</v>
      </c>
      <c r="E32" s="17">
        <v>6540.0</v>
      </c>
      <c r="F32" s="21">
        <f t="shared" si="9"/>
        <v>0.0111</v>
      </c>
      <c r="G32" s="21">
        <f t="shared" si="2"/>
        <v>66.6</v>
      </c>
      <c r="H32" s="21">
        <f t="shared" si="3"/>
        <v>72.594</v>
      </c>
      <c r="I32" s="21">
        <f t="shared" si="4"/>
        <v>69.597</v>
      </c>
      <c r="J32" s="21">
        <f t="shared" si="5"/>
        <v>83.25</v>
      </c>
      <c r="K32" s="17">
        <v>11.0</v>
      </c>
      <c r="L32" s="23">
        <v>67.0</v>
      </c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</row>
    <row r="33">
      <c r="A33" s="17">
        <f t="shared" si="6"/>
        <v>25</v>
      </c>
      <c r="B33" s="17">
        <v>66.0</v>
      </c>
      <c r="C33" s="36">
        <v>7500.0</v>
      </c>
      <c r="D33" s="17">
        <v>5490.0</v>
      </c>
      <c r="E33" s="17">
        <v>6000.0</v>
      </c>
      <c r="F33" s="21">
        <f t="shared" si="9"/>
        <v>0.0111</v>
      </c>
      <c r="G33" s="21">
        <f t="shared" si="2"/>
        <v>60.939</v>
      </c>
      <c r="H33" s="21">
        <f t="shared" si="3"/>
        <v>66.6</v>
      </c>
      <c r="I33" s="21">
        <f t="shared" si="4"/>
        <v>63.7695</v>
      </c>
      <c r="J33" s="21">
        <f t="shared" si="5"/>
        <v>83.25</v>
      </c>
      <c r="K33" s="17">
        <v>12.0</v>
      </c>
      <c r="L33" s="17">
        <v>70.0</v>
      </c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</row>
    <row r="34">
      <c r="A34" s="17">
        <f t="shared" si="6"/>
        <v>26</v>
      </c>
      <c r="B34" s="41">
        <v>60.0</v>
      </c>
      <c r="C34" s="17">
        <v>100.0</v>
      </c>
      <c r="D34" s="17">
        <v>0.0</v>
      </c>
      <c r="E34" s="17">
        <v>540.0</v>
      </c>
      <c r="F34" s="17">
        <v>0.0103</v>
      </c>
      <c r="G34" s="21">
        <f t="shared" si="2"/>
        <v>0</v>
      </c>
      <c r="H34" s="21">
        <f t="shared" si="3"/>
        <v>5.562</v>
      </c>
      <c r="I34" s="21">
        <f t="shared" si="4"/>
        <v>2.781</v>
      </c>
      <c r="J34" s="21">
        <f t="shared" si="5"/>
        <v>1.03</v>
      </c>
      <c r="K34" s="17">
        <v>11.0</v>
      </c>
      <c r="L34" s="21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</row>
    <row r="35">
      <c r="A35" s="17">
        <f t="shared" si="6"/>
        <v>27</v>
      </c>
      <c r="B35" s="42"/>
      <c r="C35" s="17">
        <v>500.0</v>
      </c>
      <c r="D35" s="23">
        <v>0.0</v>
      </c>
      <c r="E35" s="17">
        <v>1080.0</v>
      </c>
      <c r="F35" s="17">
        <v>0.0103</v>
      </c>
      <c r="G35" s="21">
        <f t="shared" si="2"/>
        <v>0</v>
      </c>
      <c r="H35" s="21">
        <f t="shared" si="3"/>
        <v>11.124</v>
      </c>
      <c r="I35" s="21">
        <f t="shared" si="4"/>
        <v>5.562</v>
      </c>
      <c r="J35" s="21">
        <f t="shared" si="5"/>
        <v>5.15</v>
      </c>
      <c r="K35" s="17">
        <v>11.0</v>
      </c>
      <c r="L35" s="21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</row>
    <row r="36">
      <c r="A36" s="17">
        <f t="shared" si="6"/>
        <v>28</v>
      </c>
      <c r="B36" s="42"/>
      <c r="C36" s="34">
        <v>1000.0</v>
      </c>
      <c r="D36" s="43">
        <v>540.0</v>
      </c>
      <c r="E36" s="43">
        <v>1080.0</v>
      </c>
      <c r="F36" s="17">
        <v>0.0103</v>
      </c>
      <c r="G36" s="21">
        <f t="shared" si="2"/>
        <v>5.562</v>
      </c>
      <c r="H36" s="21">
        <f t="shared" si="3"/>
        <v>11.124</v>
      </c>
      <c r="I36" s="21">
        <f t="shared" si="4"/>
        <v>8.343</v>
      </c>
      <c r="J36" s="21">
        <f t="shared" si="5"/>
        <v>10.3</v>
      </c>
      <c r="K36" s="17">
        <v>11.0</v>
      </c>
      <c r="L36" s="44"/>
      <c r="M36" s="28" t="s">
        <v>80</v>
      </c>
    </row>
    <row r="37">
      <c r="A37" s="17">
        <f t="shared" si="6"/>
        <v>29</v>
      </c>
      <c r="B37" s="42"/>
      <c r="C37" s="27">
        <v>1500.0</v>
      </c>
      <c r="D37" s="17">
        <v>1080.0</v>
      </c>
      <c r="E37" s="17">
        <v>1635.0</v>
      </c>
      <c r="F37" s="17">
        <v>0.0103</v>
      </c>
      <c r="G37" s="21">
        <f t="shared" si="2"/>
        <v>11.124</v>
      </c>
      <c r="H37" s="21">
        <f t="shared" si="3"/>
        <v>16.8405</v>
      </c>
      <c r="I37" s="21">
        <f t="shared" si="4"/>
        <v>13.98225</v>
      </c>
      <c r="J37" s="21">
        <f t="shared" si="5"/>
        <v>15.45</v>
      </c>
      <c r="K37" s="17">
        <v>11.0</v>
      </c>
      <c r="L37" s="21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</row>
    <row r="38">
      <c r="A38" s="17">
        <f t="shared" si="6"/>
        <v>30</v>
      </c>
      <c r="B38" s="42"/>
      <c r="C38" s="45">
        <v>2000.0</v>
      </c>
      <c r="D38" s="17">
        <v>1635.0</v>
      </c>
      <c r="E38" s="17">
        <v>2175.0</v>
      </c>
      <c r="F38" s="17">
        <v>0.0103</v>
      </c>
      <c r="G38" s="21">
        <f t="shared" si="2"/>
        <v>16.8405</v>
      </c>
      <c r="H38" s="21">
        <f t="shared" si="3"/>
        <v>22.4025</v>
      </c>
      <c r="I38" s="21">
        <f t="shared" si="4"/>
        <v>19.6215</v>
      </c>
      <c r="J38" s="21">
        <f t="shared" si="5"/>
        <v>20.6</v>
      </c>
      <c r="K38" s="17">
        <v>11.0</v>
      </c>
      <c r="L38" s="21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</row>
    <row r="39">
      <c r="A39" s="17">
        <f t="shared" si="6"/>
        <v>31</v>
      </c>
      <c r="B39" s="42"/>
      <c r="C39" s="27">
        <v>2500.0</v>
      </c>
      <c r="D39" s="17">
        <v>2175.0</v>
      </c>
      <c r="E39" s="17">
        <v>2715.0</v>
      </c>
      <c r="F39" s="17">
        <v>0.0103</v>
      </c>
      <c r="G39" s="21">
        <f t="shared" si="2"/>
        <v>22.4025</v>
      </c>
      <c r="H39" s="21">
        <f t="shared" si="3"/>
        <v>27.9645</v>
      </c>
      <c r="I39" s="21">
        <f t="shared" si="4"/>
        <v>25.1835</v>
      </c>
      <c r="J39" s="21">
        <f t="shared" si="5"/>
        <v>25.75</v>
      </c>
      <c r="K39" s="17">
        <v>11.0</v>
      </c>
      <c r="L39" s="21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</row>
    <row r="40">
      <c r="A40" s="17">
        <f t="shared" si="6"/>
        <v>32</v>
      </c>
      <c r="B40" s="42"/>
      <c r="C40" s="45">
        <v>3000.0</v>
      </c>
      <c r="D40" s="17">
        <v>2715.0</v>
      </c>
      <c r="E40" s="17">
        <v>3270.0</v>
      </c>
      <c r="F40" s="17">
        <v>0.0103</v>
      </c>
      <c r="G40" s="21">
        <f t="shared" si="2"/>
        <v>27.9645</v>
      </c>
      <c r="H40" s="21">
        <f t="shared" si="3"/>
        <v>33.681</v>
      </c>
      <c r="I40" s="21">
        <f t="shared" si="4"/>
        <v>30.82275</v>
      </c>
      <c r="J40" s="21">
        <f t="shared" si="5"/>
        <v>30.9</v>
      </c>
      <c r="K40" s="17">
        <v>11.0</v>
      </c>
      <c r="L40" s="21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</row>
    <row r="41">
      <c r="A41" s="17">
        <f t="shared" si="6"/>
        <v>33</v>
      </c>
      <c r="B41" s="42"/>
      <c r="C41" s="27">
        <v>3500.0</v>
      </c>
      <c r="D41" s="17">
        <v>3270.0</v>
      </c>
      <c r="E41" s="17">
        <v>3810.0</v>
      </c>
      <c r="F41" s="17">
        <v>0.0103</v>
      </c>
      <c r="G41" s="21">
        <f t="shared" si="2"/>
        <v>33.681</v>
      </c>
      <c r="H41" s="21">
        <f t="shared" si="3"/>
        <v>39.243</v>
      </c>
      <c r="I41" s="21">
        <f t="shared" si="4"/>
        <v>36.462</v>
      </c>
      <c r="J41" s="21">
        <f t="shared" si="5"/>
        <v>36.05</v>
      </c>
      <c r="K41" s="17">
        <v>11.0</v>
      </c>
      <c r="L41" s="21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</row>
    <row r="42">
      <c r="A42" s="17">
        <f t="shared" si="6"/>
        <v>34</v>
      </c>
      <c r="B42" s="42"/>
      <c r="C42" s="45">
        <v>4000.0</v>
      </c>
      <c r="D42" s="17">
        <v>3810.0</v>
      </c>
      <c r="E42" s="17">
        <v>4350.0</v>
      </c>
      <c r="F42" s="17">
        <v>0.0103</v>
      </c>
      <c r="G42" s="21">
        <f t="shared" si="2"/>
        <v>39.243</v>
      </c>
      <c r="H42" s="21">
        <f t="shared" si="3"/>
        <v>44.805</v>
      </c>
      <c r="I42" s="21">
        <f t="shared" si="4"/>
        <v>42.024</v>
      </c>
      <c r="J42" s="21">
        <f t="shared" si="5"/>
        <v>41.2</v>
      </c>
      <c r="K42" s="17">
        <v>11.0</v>
      </c>
      <c r="L42" s="21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</row>
    <row r="43">
      <c r="A43" s="17">
        <f t="shared" si="6"/>
        <v>35</v>
      </c>
      <c r="B43" s="42"/>
      <c r="C43" s="27">
        <v>4500.0</v>
      </c>
      <c r="D43" s="17">
        <v>4350.0</v>
      </c>
      <c r="E43" s="17">
        <v>4905.0</v>
      </c>
      <c r="F43" s="17">
        <v>0.0103</v>
      </c>
      <c r="G43" s="21">
        <f t="shared" si="2"/>
        <v>44.805</v>
      </c>
      <c r="H43" s="21">
        <f t="shared" si="3"/>
        <v>50.5215</v>
      </c>
      <c r="I43" s="21">
        <f t="shared" si="4"/>
        <v>47.66325</v>
      </c>
      <c r="J43" s="21">
        <f t="shared" si="5"/>
        <v>46.35</v>
      </c>
      <c r="K43" s="17">
        <v>11.0</v>
      </c>
      <c r="L43" s="21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</row>
    <row r="44">
      <c r="A44" s="17">
        <f t="shared" si="6"/>
        <v>36</v>
      </c>
      <c r="B44" s="42"/>
      <c r="C44" s="45">
        <v>5000.0</v>
      </c>
      <c r="D44" s="17">
        <v>5445.0</v>
      </c>
      <c r="E44" s="17">
        <v>4905.0</v>
      </c>
      <c r="F44" s="17">
        <v>0.0103</v>
      </c>
      <c r="G44" s="21">
        <f t="shared" si="2"/>
        <v>56.0835</v>
      </c>
      <c r="H44" s="21">
        <f t="shared" si="3"/>
        <v>50.5215</v>
      </c>
      <c r="I44" s="21">
        <f t="shared" si="4"/>
        <v>53.3025</v>
      </c>
      <c r="J44" s="21">
        <f t="shared" si="5"/>
        <v>51.5</v>
      </c>
      <c r="K44" s="17">
        <v>11.0</v>
      </c>
      <c r="L44" s="21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</row>
    <row r="45">
      <c r="A45" s="17">
        <f t="shared" si="6"/>
        <v>37</v>
      </c>
      <c r="B45" s="42"/>
      <c r="C45" s="27">
        <v>5500.0</v>
      </c>
      <c r="D45" s="38">
        <v>5445.0</v>
      </c>
      <c r="E45" s="38">
        <v>6000.0</v>
      </c>
      <c r="F45" s="17">
        <v>0.0103</v>
      </c>
      <c r="G45" s="21">
        <f t="shared" si="2"/>
        <v>56.0835</v>
      </c>
      <c r="H45" s="21">
        <f t="shared" si="3"/>
        <v>61.8</v>
      </c>
      <c r="I45" s="21">
        <f t="shared" si="4"/>
        <v>58.94175</v>
      </c>
      <c r="J45" s="21">
        <f t="shared" si="5"/>
        <v>56.65</v>
      </c>
      <c r="K45" s="17">
        <v>11.0</v>
      </c>
      <c r="L45" s="21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</row>
    <row r="46">
      <c r="A46" s="17">
        <f t="shared" si="6"/>
        <v>38</v>
      </c>
      <c r="B46" s="42"/>
      <c r="C46" s="45">
        <v>6000.0</v>
      </c>
      <c r="D46" s="38">
        <v>5445.0</v>
      </c>
      <c r="E46" s="38">
        <v>6000.0</v>
      </c>
      <c r="F46" s="17">
        <v>0.0103</v>
      </c>
      <c r="G46" s="21">
        <f t="shared" si="2"/>
        <v>56.0835</v>
      </c>
      <c r="H46" s="21">
        <f t="shared" si="3"/>
        <v>61.8</v>
      </c>
      <c r="I46" s="21">
        <f t="shared" si="4"/>
        <v>58.94175</v>
      </c>
      <c r="J46" s="21">
        <f t="shared" si="5"/>
        <v>61.8</v>
      </c>
      <c r="K46" s="17">
        <v>11.0</v>
      </c>
      <c r="L46" s="21"/>
      <c r="M46" s="28" t="s">
        <v>82</v>
      </c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</row>
    <row r="47">
      <c r="A47" s="17">
        <f t="shared" si="6"/>
        <v>39</v>
      </c>
      <c r="B47" s="42"/>
      <c r="C47" s="17">
        <v>6500.0</v>
      </c>
      <c r="D47" s="17">
        <v>6000.0</v>
      </c>
      <c r="E47" s="17">
        <v>6540.0</v>
      </c>
      <c r="F47" s="17">
        <v>0.0103</v>
      </c>
      <c r="G47" s="21">
        <f t="shared" si="2"/>
        <v>61.8</v>
      </c>
      <c r="H47" s="21">
        <f t="shared" si="3"/>
        <v>67.362</v>
      </c>
      <c r="I47" s="21">
        <f t="shared" si="4"/>
        <v>64.581</v>
      </c>
      <c r="J47" s="21">
        <f t="shared" si="5"/>
        <v>66.95</v>
      </c>
      <c r="K47" s="17">
        <v>11.0</v>
      </c>
      <c r="L47" s="21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</row>
    <row r="48">
      <c r="A48" s="17">
        <f t="shared" si="6"/>
        <v>40</v>
      </c>
      <c r="B48" s="46"/>
      <c r="C48" s="34">
        <v>7500.0</v>
      </c>
      <c r="D48" s="17">
        <v>6000.0</v>
      </c>
      <c r="E48" s="17">
        <v>6540.0</v>
      </c>
      <c r="F48" s="17">
        <v>0.0103</v>
      </c>
      <c r="G48" s="21">
        <f t="shared" si="2"/>
        <v>61.8</v>
      </c>
      <c r="H48" s="21">
        <f t="shared" si="3"/>
        <v>67.362</v>
      </c>
      <c r="I48" s="21">
        <f t="shared" si="4"/>
        <v>64.581</v>
      </c>
      <c r="J48" s="21">
        <f t="shared" si="5"/>
        <v>77.25</v>
      </c>
      <c r="K48" s="17">
        <v>11.0</v>
      </c>
      <c r="L48" s="21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</row>
    <row r="49">
      <c r="A49" s="17">
        <f t="shared" si="6"/>
        <v>41</v>
      </c>
      <c r="B49" s="17"/>
      <c r="C49" s="17"/>
      <c r="D49" s="21"/>
      <c r="E49" s="21"/>
      <c r="F49" s="17"/>
      <c r="G49" s="21">
        <f t="shared" si="2"/>
        <v>0</v>
      </c>
      <c r="H49" s="21">
        <f t="shared" si="3"/>
        <v>0</v>
      </c>
      <c r="I49" s="21">
        <f t="shared" si="4"/>
        <v>0</v>
      </c>
      <c r="J49" s="21"/>
      <c r="K49" s="21"/>
      <c r="L49" s="21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</row>
    <row r="50">
      <c r="A50" s="17">
        <f t="shared" si="6"/>
        <v>42</v>
      </c>
      <c r="B50" s="17"/>
      <c r="C50" s="34"/>
      <c r="D50" s="21"/>
      <c r="E50" s="21"/>
      <c r="F50" s="17"/>
      <c r="G50" s="21">
        <f t="shared" si="2"/>
        <v>0</v>
      </c>
      <c r="H50" s="21">
        <f t="shared" si="3"/>
        <v>0</v>
      </c>
      <c r="I50" s="21">
        <f t="shared" si="4"/>
        <v>0</v>
      </c>
      <c r="J50" s="21"/>
      <c r="K50" s="21"/>
      <c r="L50" s="21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</row>
    <row r="51">
      <c r="A51" s="17">
        <f t="shared" si="6"/>
        <v>43</v>
      </c>
      <c r="B51" s="21"/>
      <c r="C51" s="21"/>
      <c r="D51" s="21"/>
      <c r="E51" s="21"/>
      <c r="F51" s="21"/>
      <c r="G51" s="21">
        <f t="shared" si="2"/>
        <v>0</v>
      </c>
      <c r="H51" s="21">
        <f t="shared" si="3"/>
        <v>0</v>
      </c>
      <c r="I51" s="21">
        <f t="shared" si="4"/>
        <v>0</v>
      </c>
      <c r="J51" s="21"/>
      <c r="K51" s="21"/>
      <c r="L51" s="21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</row>
    <row r="52">
      <c r="A52" s="17">
        <f t="shared" si="6"/>
        <v>44</v>
      </c>
      <c r="B52" s="21"/>
      <c r="C52" s="21"/>
      <c r="D52" s="21"/>
      <c r="E52" s="21"/>
      <c r="F52" s="21"/>
      <c r="G52" s="21">
        <f t="shared" si="2"/>
        <v>0</v>
      </c>
      <c r="H52" s="21">
        <f t="shared" si="3"/>
        <v>0</v>
      </c>
      <c r="I52" s="21">
        <f t="shared" si="4"/>
        <v>0</v>
      </c>
      <c r="J52" s="21"/>
      <c r="K52" s="21"/>
      <c r="L52" s="21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</row>
    <row r="53">
      <c r="A53" s="17">
        <f t="shared" si="6"/>
        <v>45</v>
      </c>
      <c r="B53" s="21"/>
      <c r="C53" s="21"/>
      <c r="D53" s="21"/>
      <c r="E53" s="21"/>
      <c r="F53" s="21"/>
      <c r="G53" s="21">
        <f t="shared" si="2"/>
        <v>0</v>
      </c>
      <c r="H53" s="21">
        <f t="shared" si="3"/>
        <v>0</v>
      </c>
      <c r="I53" s="21">
        <f t="shared" si="4"/>
        <v>0</v>
      </c>
      <c r="J53" s="21"/>
      <c r="K53" s="21"/>
      <c r="L53" s="21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</row>
    <row r="54">
      <c r="A54" s="17">
        <f t="shared" si="6"/>
        <v>46</v>
      </c>
      <c r="B54" s="21"/>
      <c r="C54" s="21"/>
      <c r="D54" s="21"/>
      <c r="E54" s="21"/>
      <c r="F54" s="21"/>
      <c r="G54" s="21">
        <f t="shared" si="2"/>
        <v>0</v>
      </c>
      <c r="H54" s="21">
        <f t="shared" si="3"/>
        <v>0</v>
      </c>
      <c r="I54" s="21">
        <f t="shared" si="4"/>
        <v>0</v>
      </c>
      <c r="J54" s="21"/>
      <c r="K54" s="21"/>
      <c r="L54" s="21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</row>
    <row r="55">
      <c r="A55" s="17">
        <f t="shared" si="6"/>
        <v>47</v>
      </c>
      <c r="B55" s="21"/>
      <c r="C55" s="21"/>
      <c r="D55" s="21"/>
      <c r="E55" s="21"/>
      <c r="F55" s="21"/>
      <c r="G55" s="21">
        <f t="shared" si="2"/>
        <v>0</v>
      </c>
      <c r="H55" s="21">
        <f t="shared" si="3"/>
        <v>0</v>
      </c>
      <c r="I55" s="21">
        <f t="shared" si="4"/>
        <v>0</v>
      </c>
      <c r="J55" s="21"/>
      <c r="K55" s="21"/>
      <c r="L55" s="21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</row>
    <row r="56">
      <c r="A56" s="17">
        <f t="shared" si="6"/>
        <v>48</v>
      </c>
      <c r="B56" s="21"/>
      <c r="C56" s="21"/>
      <c r="D56" s="21"/>
      <c r="E56" s="21"/>
      <c r="F56" s="21"/>
      <c r="G56" s="21"/>
      <c r="H56" s="21">
        <f t="shared" si="3"/>
        <v>0</v>
      </c>
      <c r="I56" s="21"/>
      <c r="J56" s="21"/>
      <c r="K56" s="21"/>
      <c r="L56" s="21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</row>
    <row r="57">
      <c r="A57" s="17">
        <f t="shared" si="6"/>
        <v>49</v>
      </c>
      <c r="B57" s="21"/>
      <c r="C57" s="21"/>
      <c r="D57" s="21"/>
      <c r="E57" s="21"/>
      <c r="F57" s="21"/>
      <c r="G57" s="21"/>
      <c r="H57" s="21">
        <f t="shared" si="3"/>
        <v>0</v>
      </c>
      <c r="I57" s="21"/>
      <c r="J57" s="21"/>
      <c r="K57" s="21"/>
      <c r="L57" s="21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</row>
    <row r="58">
      <c r="A58" s="17">
        <f t="shared" si="6"/>
        <v>50</v>
      </c>
      <c r="B58" s="21"/>
      <c r="C58" s="21"/>
      <c r="D58" s="21"/>
      <c r="E58" s="21"/>
      <c r="F58" s="21"/>
      <c r="G58" s="21"/>
      <c r="H58" s="21">
        <f t="shared" si="3"/>
        <v>0</v>
      </c>
      <c r="I58" s="21"/>
      <c r="J58" s="21"/>
      <c r="K58" s="21"/>
      <c r="L58" s="21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</row>
    <row r="59">
      <c r="A59" s="17">
        <f t="shared" si="6"/>
        <v>51</v>
      </c>
      <c r="B59" s="21"/>
      <c r="C59" s="21"/>
      <c r="D59" s="21"/>
      <c r="E59" s="21"/>
      <c r="F59" s="21"/>
      <c r="G59" s="21"/>
      <c r="H59" s="21">
        <f t="shared" si="3"/>
        <v>0</v>
      </c>
      <c r="I59" s="21"/>
      <c r="J59" s="21"/>
      <c r="K59" s="21"/>
      <c r="L59" s="21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</row>
    <row r="60">
      <c r="A60" s="17">
        <f t="shared" si="6"/>
        <v>52</v>
      </c>
      <c r="B60" s="21"/>
      <c r="C60" s="21"/>
      <c r="D60" s="21"/>
      <c r="E60" s="21"/>
      <c r="F60" s="21"/>
      <c r="G60" s="21"/>
      <c r="H60" s="21">
        <f t="shared" si="3"/>
        <v>0</v>
      </c>
      <c r="I60" s="21"/>
      <c r="J60" s="21"/>
      <c r="K60" s="21"/>
      <c r="L60" s="21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</row>
    <row r="61">
      <c r="A61" s="17">
        <f t="shared" si="6"/>
        <v>53</v>
      </c>
      <c r="B61" s="21"/>
      <c r="C61" s="21"/>
      <c r="D61" s="21"/>
      <c r="E61" s="21"/>
      <c r="F61" s="21"/>
      <c r="G61" s="21"/>
      <c r="H61" s="21">
        <f t="shared" si="3"/>
        <v>0</v>
      </c>
      <c r="I61" s="21"/>
      <c r="J61" s="21"/>
      <c r="K61" s="21"/>
      <c r="L61" s="21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</row>
    <row r="62">
      <c r="A62" s="17">
        <f t="shared" si="6"/>
        <v>54</v>
      </c>
      <c r="B62" s="21"/>
      <c r="C62" s="21"/>
      <c r="D62" s="21"/>
      <c r="E62" s="21"/>
      <c r="F62" s="21"/>
      <c r="G62" s="21"/>
      <c r="H62" s="21">
        <f t="shared" si="3"/>
        <v>0</v>
      </c>
      <c r="I62" s="21"/>
      <c r="J62" s="21"/>
      <c r="K62" s="21"/>
      <c r="L62" s="21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</row>
    <row r="63">
      <c r="A63" s="17">
        <f t="shared" si="6"/>
        <v>55</v>
      </c>
      <c r="B63" s="21"/>
      <c r="C63" s="21"/>
      <c r="D63" s="21"/>
      <c r="E63" s="21"/>
      <c r="F63" s="21"/>
      <c r="G63" s="21"/>
      <c r="H63" s="21">
        <f t="shared" si="3"/>
        <v>0</v>
      </c>
      <c r="I63" s="21"/>
      <c r="J63" s="21"/>
      <c r="K63" s="21"/>
      <c r="L63" s="21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</row>
    <row r="64">
      <c r="A64" s="17">
        <f t="shared" si="6"/>
        <v>56</v>
      </c>
      <c r="B64" s="21"/>
      <c r="C64" s="21"/>
      <c r="D64" s="21"/>
      <c r="E64" s="21"/>
      <c r="F64" s="21"/>
      <c r="G64" s="21"/>
      <c r="H64" s="21">
        <f t="shared" si="3"/>
        <v>0</v>
      </c>
      <c r="I64" s="21"/>
      <c r="J64" s="21"/>
      <c r="K64" s="21"/>
      <c r="L64" s="21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</row>
    <row r="65">
      <c r="A65" s="17">
        <f t="shared" si="6"/>
        <v>57</v>
      </c>
      <c r="B65" s="21"/>
      <c r="C65" s="21"/>
      <c r="D65" s="21"/>
      <c r="E65" s="21"/>
      <c r="F65" s="21"/>
      <c r="G65" s="21"/>
      <c r="H65" s="21">
        <f t="shared" si="3"/>
        <v>0</v>
      </c>
      <c r="I65" s="21"/>
      <c r="J65" s="21"/>
      <c r="K65" s="21"/>
      <c r="L65" s="21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</row>
    <row r="66">
      <c r="A66" s="17">
        <f t="shared" si="6"/>
        <v>58</v>
      </c>
      <c r="B66" s="21"/>
      <c r="C66" s="21"/>
      <c r="D66" s="21"/>
      <c r="E66" s="21"/>
      <c r="F66" s="21"/>
      <c r="G66" s="21"/>
      <c r="H66" s="21">
        <f t="shared" si="3"/>
        <v>0</v>
      </c>
      <c r="I66" s="21"/>
      <c r="J66" s="21"/>
      <c r="K66" s="21"/>
      <c r="L66" s="21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</row>
    <row r="67">
      <c r="A67" s="17">
        <f t="shared" si="6"/>
        <v>59</v>
      </c>
      <c r="B67" s="21"/>
      <c r="C67" s="21"/>
      <c r="D67" s="21"/>
      <c r="E67" s="21"/>
      <c r="F67" s="21"/>
      <c r="G67" s="21"/>
      <c r="H67" s="21">
        <f t="shared" si="3"/>
        <v>0</v>
      </c>
      <c r="I67" s="21"/>
      <c r="J67" s="21"/>
      <c r="K67" s="21"/>
      <c r="L67" s="21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</row>
    <row r="68">
      <c r="A68" s="17">
        <f t="shared" si="6"/>
        <v>60</v>
      </c>
      <c r="B68" s="21"/>
      <c r="C68" s="21"/>
      <c r="D68" s="21"/>
      <c r="E68" s="21"/>
      <c r="F68" s="21"/>
      <c r="G68" s="21"/>
      <c r="H68" s="21">
        <f t="shared" si="3"/>
        <v>0</v>
      </c>
      <c r="I68" s="21"/>
      <c r="J68" s="21"/>
      <c r="K68" s="21"/>
      <c r="L68" s="21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</row>
    <row r="69">
      <c r="A69" s="17">
        <f t="shared" si="6"/>
        <v>61</v>
      </c>
      <c r="B69" s="21"/>
      <c r="C69" s="21"/>
      <c r="D69" s="21"/>
      <c r="E69" s="21"/>
      <c r="F69" s="21"/>
      <c r="G69" s="21"/>
      <c r="H69" s="21">
        <f t="shared" si="3"/>
        <v>0</v>
      </c>
      <c r="I69" s="21"/>
      <c r="J69" s="21"/>
      <c r="K69" s="21"/>
      <c r="L69" s="21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</row>
    <row r="70">
      <c r="A70" s="17">
        <f t="shared" si="6"/>
        <v>62</v>
      </c>
      <c r="B70" s="21"/>
      <c r="C70" s="21"/>
      <c r="D70" s="21"/>
      <c r="E70" s="21"/>
      <c r="F70" s="21"/>
      <c r="G70" s="21"/>
      <c r="H70" s="21">
        <f t="shared" si="3"/>
        <v>0</v>
      </c>
      <c r="I70" s="21"/>
      <c r="J70" s="21"/>
      <c r="K70" s="21"/>
      <c r="L70" s="21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</row>
    <row r="71">
      <c r="A71" s="17">
        <f t="shared" si="6"/>
        <v>63</v>
      </c>
      <c r="B71" s="21"/>
      <c r="C71" s="21"/>
      <c r="D71" s="21"/>
      <c r="E71" s="21"/>
      <c r="F71" s="21"/>
      <c r="G71" s="21"/>
      <c r="H71" s="21">
        <f t="shared" si="3"/>
        <v>0</v>
      </c>
      <c r="I71" s="21"/>
      <c r="J71" s="21"/>
      <c r="K71" s="21"/>
      <c r="L71" s="21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</row>
    <row r="72">
      <c r="A72" s="17">
        <f t="shared" si="6"/>
        <v>64</v>
      </c>
      <c r="B72" s="21"/>
      <c r="C72" s="21"/>
      <c r="D72" s="21"/>
      <c r="E72" s="21"/>
      <c r="F72" s="21"/>
      <c r="G72" s="21"/>
      <c r="H72" s="21">
        <f t="shared" si="3"/>
        <v>0</v>
      </c>
      <c r="I72" s="21"/>
      <c r="J72" s="21"/>
      <c r="K72" s="21"/>
      <c r="L72" s="21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</row>
    <row r="73">
      <c r="A73" s="17">
        <f t="shared" si="6"/>
        <v>65</v>
      </c>
      <c r="B73" s="21"/>
      <c r="C73" s="21"/>
      <c r="D73" s="21"/>
      <c r="E73" s="21"/>
      <c r="F73" s="21"/>
      <c r="G73" s="21"/>
      <c r="H73" s="21">
        <f t="shared" si="3"/>
        <v>0</v>
      </c>
      <c r="I73" s="21"/>
      <c r="J73" s="21"/>
      <c r="K73" s="21"/>
      <c r="L73" s="21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</row>
    <row r="74">
      <c r="A74" s="17">
        <f t="shared" si="6"/>
        <v>66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</row>
    <row r="75">
      <c r="A75" s="17">
        <f t="shared" si="6"/>
        <v>67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</row>
    <row r="76">
      <c r="A76" s="17">
        <f t="shared" si="6"/>
        <v>68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</row>
    <row r="77">
      <c r="A77" s="17">
        <f t="shared" si="6"/>
        <v>69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</row>
    <row r="78">
      <c r="A78" s="17">
        <f t="shared" si="6"/>
        <v>70</v>
      </c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</row>
    <row r="79">
      <c r="A79" s="17">
        <f t="shared" si="6"/>
        <v>71</v>
      </c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</row>
    <row r="80">
      <c r="A80" s="17">
        <f t="shared" si="6"/>
        <v>72</v>
      </c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</row>
    <row r="81">
      <c r="A81" s="17">
        <f t="shared" si="6"/>
        <v>73</v>
      </c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</row>
    <row r="82">
      <c r="A82" s="17">
        <f t="shared" si="6"/>
        <v>74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</row>
    <row r="83">
      <c r="A83" s="17">
        <f t="shared" si="6"/>
        <v>75</v>
      </c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</row>
    <row r="84">
      <c r="A84" s="17">
        <f t="shared" si="6"/>
        <v>76</v>
      </c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</row>
    <row r="85">
      <c r="A85" s="17">
        <f t="shared" si="6"/>
        <v>77</v>
      </c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</row>
    <row r="86">
      <c r="A86" s="17">
        <f t="shared" si="6"/>
        <v>78</v>
      </c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</row>
    <row r="87">
      <c r="A87" s="17">
        <f t="shared" si="6"/>
        <v>79</v>
      </c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</row>
    <row r="88">
      <c r="A88" s="17">
        <f t="shared" si="6"/>
        <v>80</v>
      </c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</row>
    <row r="89">
      <c r="A89" s="17">
        <f t="shared" si="6"/>
        <v>81</v>
      </c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</row>
    <row r="90">
      <c r="A90" s="17">
        <f t="shared" si="6"/>
        <v>82</v>
      </c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</row>
    <row r="91">
      <c r="A91" s="17">
        <f t="shared" si="6"/>
        <v>83</v>
      </c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</row>
    <row r="92">
      <c r="A92" s="17">
        <f t="shared" si="6"/>
        <v>84</v>
      </c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</row>
    <row r="93">
      <c r="A93" s="17">
        <f t="shared" si="6"/>
        <v>85</v>
      </c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</row>
    <row r="94">
      <c r="A94" s="17">
        <f t="shared" si="6"/>
        <v>86</v>
      </c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</row>
    <row r="95">
      <c r="A95" s="17">
        <f t="shared" si="6"/>
        <v>87</v>
      </c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</row>
    <row r="96">
      <c r="A96" s="17">
        <f t="shared" si="6"/>
        <v>88</v>
      </c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</row>
    <row r="97">
      <c r="A97" s="17">
        <f t="shared" si="6"/>
        <v>89</v>
      </c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</row>
    <row r="98">
      <c r="A98" s="17">
        <f t="shared" si="6"/>
        <v>90</v>
      </c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</row>
    <row r="99">
      <c r="A99" s="17">
        <f t="shared" si="6"/>
        <v>91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</row>
    <row r="100">
      <c r="A100" s="17">
        <f t="shared" si="6"/>
        <v>92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</row>
    <row r="101">
      <c r="A101" s="17">
        <f t="shared" si="6"/>
        <v>93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</row>
    <row r="102">
      <c r="A102" s="17">
        <f t="shared" si="6"/>
        <v>94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</row>
    <row r="103">
      <c r="A103" s="17">
        <f t="shared" si="6"/>
        <v>95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</row>
    <row r="104">
      <c r="A104" s="17">
        <f t="shared" si="6"/>
        <v>96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</row>
    <row r="105">
      <c r="A105" s="17">
        <f t="shared" si="6"/>
        <v>97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</row>
    <row r="106">
      <c r="A106" s="17">
        <f t="shared" si="6"/>
        <v>98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</row>
    <row r="107">
      <c r="A107" s="17">
        <f t="shared" si="6"/>
        <v>99</v>
      </c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</row>
    <row r="108">
      <c r="A108" s="17">
        <f t="shared" si="6"/>
        <v>100</v>
      </c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</row>
    <row r="109">
      <c r="A109" s="17">
        <f t="shared" si="6"/>
        <v>101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</row>
    <row r="110">
      <c r="A110" s="17">
        <f t="shared" si="6"/>
        <v>102</v>
      </c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</row>
    <row r="111">
      <c r="A111" s="17">
        <f t="shared" si="6"/>
        <v>103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</row>
    <row r="112">
      <c r="A112" s="17">
        <f t="shared" si="6"/>
        <v>104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</row>
    <row r="113">
      <c r="A113" s="17">
        <f t="shared" si="6"/>
        <v>105</v>
      </c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</row>
    <row r="114">
      <c r="A114" s="17">
        <f t="shared" si="6"/>
        <v>106</v>
      </c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</row>
    <row r="115">
      <c r="A115" s="17">
        <f t="shared" si="6"/>
        <v>107</v>
      </c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</row>
    <row r="100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</row>
    <row r="1002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</row>
    <row r="1003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</row>
    <row r="1004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  <c r="AD1004" s="16"/>
      <c r="AE1004" s="16"/>
    </row>
    <row r="1005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  <c r="AD1005" s="16"/>
      <c r="AE1005" s="16"/>
    </row>
    <row r="1006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  <c r="AD1006" s="16"/>
      <c r="AE1006" s="16"/>
    </row>
    <row r="1007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  <c r="AC1007" s="16"/>
      <c r="AD1007" s="16"/>
      <c r="AE1007" s="16"/>
    </row>
    <row r="1008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6"/>
      <c r="AE1008" s="16"/>
    </row>
    <row r="1009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  <c r="AD1009" s="16"/>
      <c r="AE1009" s="16"/>
    </row>
    <row r="1010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  <c r="AD1010" s="16"/>
      <c r="AE1010" s="16"/>
    </row>
    <row r="1011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  <c r="AD1011" s="16"/>
      <c r="AE1011" s="16"/>
    </row>
    <row r="1012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  <c r="AC1012" s="16"/>
      <c r="AD1012" s="16"/>
      <c r="AE1012" s="16"/>
    </row>
    <row r="1013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  <c r="AC1013" s="16"/>
      <c r="AD1013" s="16"/>
      <c r="AE1013" s="16"/>
    </row>
  </sheetData>
  <mergeCells count="1">
    <mergeCell ref="B34:B48"/>
  </mergeCells>
  <hyperlinks>
    <hyperlink r:id="rId1" ref="I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2.38"/>
    <col customWidth="1" min="4" max="4" width="14.25"/>
    <col customWidth="1" min="5" max="5" width="13.38"/>
    <col customWidth="1" min="6" max="6" width="14.0"/>
    <col customWidth="1" min="7" max="7" width="11.0"/>
  </cols>
  <sheetData>
    <row r="1">
      <c r="A1" s="47" t="s">
        <v>83</v>
      </c>
      <c r="B1" s="17" t="s">
        <v>84</v>
      </c>
      <c r="C1" s="16"/>
      <c r="D1" s="47" t="s">
        <v>85</v>
      </c>
      <c r="E1" s="17" t="s">
        <v>86</v>
      </c>
      <c r="F1" s="16"/>
      <c r="G1" s="47" t="s">
        <v>87</v>
      </c>
      <c r="H1" s="17" t="s">
        <v>88</v>
      </c>
      <c r="I1" s="13" t="s">
        <v>89</v>
      </c>
      <c r="J1" s="47" t="s">
        <v>90</v>
      </c>
      <c r="K1" s="17" t="s">
        <v>91</v>
      </c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47" t="s">
        <v>92</v>
      </c>
      <c r="B2" s="17" t="s">
        <v>93</v>
      </c>
      <c r="C2" s="16"/>
      <c r="D2" s="47" t="s">
        <v>94</v>
      </c>
      <c r="E2" s="17">
        <v>0.0103</v>
      </c>
      <c r="F2" s="16"/>
      <c r="G2" s="48" t="s">
        <v>95</v>
      </c>
      <c r="H2" s="49" t="s">
        <v>96</v>
      </c>
      <c r="I2" s="13" t="s">
        <v>89</v>
      </c>
      <c r="J2" s="47"/>
      <c r="K2" s="21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47" t="s">
        <v>97</v>
      </c>
      <c r="B3" s="17" t="s">
        <v>98</v>
      </c>
      <c r="C3" s="16"/>
      <c r="D3" s="47" t="s">
        <v>99</v>
      </c>
      <c r="E3" s="17">
        <v>60.0</v>
      </c>
      <c r="F3" s="16"/>
      <c r="G3" s="50"/>
      <c r="H3" s="21"/>
      <c r="I3" s="16"/>
      <c r="J3" s="50"/>
      <c r="K3" s="21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51" t="s">
        <v>100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52" t="s">
        <v>101</v>
      </c>
      <c r="B6" s="52" t="s">
        <v>102</v>
      </c>
      <c r="C6" s="52" t="s">
        <v>103</v>
      </c>
      <c r="D6" s="52" t="s">
        <v>104</v>
      </c>
      <c r="E6" s="52" t="s">
        <v>105</v>
      </c>
      <c r="F6" s="52" t="s">
        <v>106</v>
      </c>
      <c r="G6" s="52" t="s">
        <v>107</v>
      </c>
      <c r="H6" s="52" t="s">
        <v>108</v>
      </c>
      <c r="I6" s="53" t="s">
        <v>109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7">
        <v>1.0</v>
      </c>
      <c r="B7" s="17">
        <v>5.0</v>
      </c>
      <c r="C7" s="17">
        <v>2.5</v>
      </c>
      <c r="D7" s="17">
        <v>30.0</v>
      </c>
      <c r="E7" s="17"/>
      <c r="F7" s="21">
        <f t="shared" ref="F7:F66" si="1">(E7/1000)/(D7/60)</f>
        <v>0</v>
      </c>
      <c r="G7" s="17">
        <v>5.0</v>
      </c>
      <c r="H7" s="21">
        <f t="shared" ref="H7:H66" si="2">F7*G7</f>
        <v>0</v>
      </c>
      <c r="I7" s="21">
        <f t="shared" ref="I7:I66" si="3">(65/100)*B7</f>
        <v>3.25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7">
        <v>2.0</v>
      </c>
      <c r="B8" s="17">
        <v>10.0</v>
      </c>
      <c r="C8" s="17">
        <v>2.5</v>
      </c>
      <c r="D8" s="17">
        <v>30.0</v>
      </c>
      <c r="E8" s="17"/>
      <c r="F8" s="21">
        <f t="shared" si="1"/>
        <v>0</v>
      </c>
      <c r="G8" s="17">
        <v>5.0</v>
      </c>
      <c r="H8" s="21">
        <f t="shared" si="2"/>
        <v>0</v>
      </c>
      <c r="I8" s="21">
        <f t="shared" si="3"/>
        <v>6.5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7">
        <v>3.0</v>
      </c>
      <c r="B9" s="17">
        <v>15.0</v>
      </c>
      <c r="C9" s="17">
        <v>2.5</v>
      </c>
      <c r="D9" s="17">
        <v>30.0</v>
      </c>
      <c r="E9" s="17"/>
      <c r="F9" s="21">
        <f t="shared" si="1"/>
        <v>0</v>
      </c>
      <c r="G9" s="17">
        <v>5.0</v>
      </c>
      <c r="H9" s="21">
        <f t="shared" si="2"/>
        <v>0</v>
      </c>
      <c r="I9" s="21">
        <f t="shared" si="3"/>
        <v>9.75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7">
        <v>4.0</v>
      </c>
      <c r="B10" s="17">
        <v>20.0</v>
      </c>
      <c r="C10" s="17">
        <v>2.5</v>
      </c>
      <c r="D10" s="17">
        <v>30.0</v>
      </c>
      <c r="E10" s="17"/>
      <c r="F10" s="21">
        <f t="shared" si="1"/>
        <v>0</v>
      </c>
      <c r="G10" s="17">
        <v>5.0</v>
      </c>
      <c r="H10" s="21">
        <f t="shared" si="2"/>
        <v>0</v>
      </c>
      <c r="I10" s="21">
        <f t="shared" si="3"/>
        <v>13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7">
        <v>5.0</v>
      </c>
      <c r="B11" s="17">
        <v>25.0</v>
      </c>
      <c r="C11" s="17">
        <v>2.5</v>
      </c>
      <c r="D11" s="17">
        <v>30.0</v>
      </c>
      <c r="E11" s="17"/>
      <c r="F11" s="21">
        <f t="shared" si="1"/>
        <v>0</v>
      </c>
      <c r="G11" s="17">
        <v>5.0</v>
      </c>
      <c r="H11" s="21">
        <f t="shared" si="2"/>
        <v>0</v>
      </c>
      <c r="I11" s="21">
        <f t="shared" si="3"/>
        <v>16.25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7">
        <v>6.0</v>
      </c>
      <c r="B12" s="17">
        <v>30.0</v>
      </c>
      <c r="C12" s="17">
        <v>2.5</v>
      </c>
      <c r="D12" s="17">
        <v>30.0</v>
      </c>
      <c r="E12" s="17"/>
      <c r="F12" s="21">
        <f t="shared" si="1"/>
        <v>0</v>
      </c>
      <c r="G12" s="17">
        <v>5.0</v>
      </c>
      <c r="H12" s="21">
        <f t="shared" si="2"/>
        <v>0</v>
      </c>
      <c r="I12" s="21">
        <f t="shared" si="3"/>
        <v>19.5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7">
        <v>7.0</v>
      </c>
      <c r="B13" s="17">
        <v>35.0</v>
      </c>
      <c r="C13" s="17">
        <v>2.5</v>
      </c>
      <c r="D13" s="17">
        <v>30.0</v>
      </c>
      <c r="E13" s="17"/>
      <c r="F13" s="21">
        <f t="shared" si="1"/>
        <v>0</v>
      </c>
      <c r="G13" s="17">
        <v>5.0</v>
      </c>
      <c r="H13" s="21">
        <f t="shared" si="2"/>
        <v>0</v>
      </c>
      <c r="I13" s="21">
        <f t="shared" si="3"/>
        <v>22.75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7">
        <v>8.0</v>
      </c>
      <c r="B14" s="17">
        <v>40.0</v>
      </c>
      <c r="C14" s="17">
        <v>2.5</v>
      </c>
      <c r="D14" s="17">
        <v>30.0</v>
      </c>
      <c r="E14" s="17"/>
      <c r="F14" s="21">
        <f t="shared" si="1"/>
        <v>0</v>
      </c>
      <c r="G14" s="17">
        <v>5.0</v>
      </c>
      <c r="H14" s="21">
        <f t="shared" si="2"/>
        <v>0</v>
      </c>
      <c r="I14" s="21">
        <f t="shared" si="3"/>
        <v>26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7">
        <v>9.0</v>
      </c>
      <c r="B15" s="17">
        <v>45.0</v>
      </c>
      <c r="C15" s="17">
        <v>2.5</v>
      </c>
      <c r="D15" s="17">
        <v>30.0</v>
      </c>
      <c r="E15" s="17"/>
      <c r="F15" s="21">
        <f t="shared" si="1"/>
        <v>0</v>
      </c>
      <c r="G15" s="17">
        <v>5.0</v>
      </c>
      <c r="H15" s="21">
        <f t="shared" si="2"/>
        <v>0</v>
      </c>
      <c r="I15" s="21">
        <f t="shared" si="3"/>
        <v>29.25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7">
        <v>10.0</v>
      </c>
      <c r="B16" s="17">
        <v>50.0</v>
      </c>
      <c r="C16" s="17">
        <v>2.5</v>
      </c>
      <c r="D16" s="17">
        <v>30.0</v>
      </c>
      <c r="E16" s="17"/>
      <c r="F16" s="21">
        <f t="shared" si="1"/>
        <v>0</v>
      </c>
      <c r="G16" s="17">
        <v>5.0</v>
      </c>
      <c r="H16" s="21">
        <f t="shared" si="2"/>
        <v>0</v>
      </c>
      <c r="I16" s="21">
        <f t="shared" si="3"/>
        <v>32.5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7">
        <v>11.0</v>
      </c>
      <c r="B17" s="17">
        <v>55.0</v>
      </c>
      <c r="C17" s="17">
        <v>2.5</v>
      </c>
      <c r="D17" s="17">
        <v>30.0</v>
      </c>
      <c r="E17" s="17"/>
      <c r="F17" s="21">
        <f t="shared" si="1"/>
        <v>0</v>
      </c>
      <c r="G17" s="17">
        <v>5.0</v>
      </c>
      <c r="H17" s="21">
        <f t="shared" si="2"/>
        <v>0</v>
      </c>
      <c r="I17" s="21">
        <f t="shared" si="3"/>
        <v>35.75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7">
        <v>12.0</v>
      </c>
      <c r="B18" s="17">
        <v>60.0</v>
      </c>
      <c r="C18" s="17">
        <v>2.5</v>
      </c>
      <c r="D18" s="17">
        <v>30.0</v>
      </c>
      <c r="E18" s="17"/>
      <c r="F18" s="21">
        <f t="shared" si="1"/>
        <v>0</v>
      </c>
      <c r="G18" s="17">
        <v>5.0</v>
      </c>
      <c r="H18" s="21">
        <f t="shared" si="2"/>
        <v>0</v>
      </c>
      <c r="I18" s="21">
        <f t="shared" si="3"/>
        <v>39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7">
        <v>13.0</v>
      </c>
      <c r="B19" s="17">
        <v>65.0</v>
      </c>
      <c r="C19" s="17">
        <v>2.5</v>
      </c>
      <c r="D19" s="17">
        <v>30.0</v>
      </c>
      <c r="E19" s="17"/>
      <c r="F19" s="21">
        <f t="shared" si="1"/>
        <v>0</v>
      </c>
      <c r="G19" s="17">
        <v>5.0</v>
      </c>
      <c r="H19" s="21">
        <f t="shared" si="2"/>
        <v>0</v>
      </c>
      <c r="I19" s="21">
        <f t="shared" si="3"/>
        <v>42.25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7">
        <v>14.0</v>
      </c>
      <c r="B20" s="17">
        <v>70.0</v>
      </c>
      <c r="C20" s="17">
        <v>2.5</v>
      </c>
      <c r="D20" s="17">
        <v>30.0</v>
      </c>
      <c r="E20" s="17"/>
      <c r="F20" s="21">
        <f t="shared" si="1"/>
        <v>0</v>
      </c>
      <c r="G20" s="17">
        <v>5.0</v>
      </c>
      <c r="H20" s="21">
        <f t="shared" si="2"/>
        <v>0</v>
      </c>
      <c r="I20" s="21">
        <f t="shared" si="3"/>
        <v>45.5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7">
        <v>15.0</v>
      </c>
      <c r="B21" s="17">
        <v>75.0</v>
      </c>
      <c r="C21" s="17">
        <v>2.5</v>
      </c>
      <c r="D21" s="17">
        <v>30.0</v>
      </c>
      <c r="E21" s="17"/>
      <c r="F21" s="21">
        <f t="shared" si="1"/>
        <v>0</v>
      </c>
      <c r="G21" s="17">
        <v>5.0</v>
      </c>
      <c r="H21" s="21">
        <f t="shared" si="2"/>
        <v>0</v>
      </c>
      <c r="I21" s="21">
        <f t="shared" si="3"/>
        <v>48.75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7">
        <v>16.0</v>
      </c>
      <c r="B22" s="17">
        <v>80.0</v>
      </c>
      <c r="C22" s="17">
        <v>2.5</v>
      </c>
      <c r="D22" s="17">
        <v>30.0</v>
      </c>
      <c r="E22" s="17"/>
      <c r="F22" s="21">
        <f t="shared" si="1"/>
        <v>0</v>
      </c>
      <c r="G22" s="17">
        <v>5.0</v>
      </c>
      <c r="H22" s="21">
        <f t="shared" si="2"/>
        <v>0</v>
      </c>
      <c r="I22" s="21">
        <f t="shared" si="3"/>
        <v>52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7">
        <v>17.0</v>
      </c>
      <c r="B23" s="17">
        <v>85.0</v>
      </c>
      <c r="C23" s="17">
        <v>2.5</v>
      </c>
      <c r="D23" s="17">
        <v>30.0</v>
      </c>
      <c r="E23" s="17"/>
      <c r="F23" s="21">
        <f t="shared" si="1"/>
        <v>0</v>
      </c>
      <c r="G23" s="17">
        <v>5.0</v>
      </c>
      <c r="H23" s="21">
        <f t="shared" si="2"/>
        <v>0</v>
      </c>
      <c r="I23" s="21">
        <f t="shared" si="3"/>
        <v>55.25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7">
        <v>18.0</v>
      </c>
      <c r="B24" s="17">
        <v>90.0</v>
      </c>
      <c r="C24" s="17">
        <v>2.5</v>
      </c>
      <c r="D24" s="17">
        <v>30.0</v>
      </c>
      <c r="E24" s="17"/>
      <c r="F24" s="21">
        <f t="shared" si="1"/>
        <v>0</v>
      </c>
      <c r="G24" s="17">
        <v>5.0</v>
      </c>
      <c r="H24" s="21">
        <f t="shared" si="2"/>
        <v>0</v>
      </c>
      <c r="I24" s="21">
        <f t="shared" si="3"/>
        <v>58.5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7">
        <v>19.0</v>
      </c>
      <c r="B25" s="17">
        <v>95.0</v>
      </c>
      <c r="C25" s="17">
        <v>2.5</v>
      </c>
      <c r="D25" s="17">
        <v>30.0</v>
      </c>
      <c r="E25" s="17"/>
      <c r="F25" s="21">
        <f t="shared" si="1"/>
        <v>0</v>
      </c>
      <c r="G25" s="17">
        <v>5.0</v>
      </c>
      <c r="H25" s="21">
        <f t="shared" si="2"/>
        <v>0</v>
      </c>
      <c r="I25" s="21">
        <f t="shared" si="3"/>
        <v>61.75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7">
        <v>20.0</v>
      </c>
      <c r="B26" s="17">
        <v>100.0</v>
      </c>
      <c r="C26" s="17">
        <v>2.5</v>
      </c>
      <c r="D26" s="17">
        <v>30.0</v>
      </c>
      <c r="E26" s="17"/>
      <c r="F26" s="21">
        <f t="shared" si="1"/>
        <v>0</v>
      </c>
      <c r="G26" s="17">
        <v>5.0</v>
      </c>
      <c r="H26" s="21">
        <f t="shared" si="2"/>
        <v>0</v>
      </c>
      <c r="I26" s="21">
        <f t="shared" si="3"/>
        <v>65</v>
      </c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7">
        <v>21.0</v>
      </c>
      <c r="B27" s="17">
        <v>5.0</v>
      </c>
      <c r="C27" s="17">
        <v>3.25</v>
      </c>
      <c r="D27" s="17">
        <v>30.0</v>
      </c>
      <c r="E27" s="17"/>
      <c r="F27" s="21">
        <f t="shared" si="1"/>
        <v>0</v>
      </c>
      <c r="G27" s="17">
        <v>5.0</v>
      </c>
      <c r="H27" s="21">
        <f t="shared" si="2"/>
        <v>0</v>
      </c>
      <c r="I27" s="21">
        <f t="shared" si="3"/>
        <v>3.25</v>
      </c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7">
        <v>22.0</v>
      </c>
      <c r="B28" s="17">
        <v>10.0</v>
      </c>
      <c r="C28" s="17">
        <v>3.25</v>
      </c>
      <c r="D28" s="17">
        <v>30.0</v>
      </c>
      <c r="E28" s="17"/>
      <c r="F28" s="21">
        <f t="shared" si="1"/>
        <v>0</v>
      </c>
      <c r="G28" s="17">
        <v>5.0</v>
      </c>
      <c r="H28" s="21">
        <f t="shared" si="2"/>
        <v>0</v>
      </c>
      <c r="I28" s="21">
        <f t="shared" si="3"/>
        <v>6.5</v>
      </c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7">
        <v>23.0</v>
      </c>
      <c r="B29" s="17">
        <v>15.0</v>
      </c>
      <c r="C29" s="17">
        <v>3.25</v>
      </c>
      <c r="D29" s="17">
        <v>30.0</v>
      </c>
      <c r="E29" s="17"/>
      <c r="F29" s="21">
        <f t="shared" si="1"/>
        <v>0</v>
      </c>
      <c r="G29" s="17">
        <v>5.0</v>
      </c>
      <c r="H29" s="21">
        <f t="shared" si="2"/>
        <v>0</v>
      </c>
      <c r="I29" s="21">
        <f t="shared" si="3"/>
        <v>9.75</v>
      </c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7">
        <v>24.0</v>
      </c>
      <c r="B30" s="17">
        <v>20.0</v>
      </c>
      <c r="C30" s="17">
        <v>3.25</v>
      </c>
      <c r="D30" s="17">
        <v>30.0</v>
      </c>
      <c r="E30" s="17"/>
      <c r="F30" s="21">
        <f t="shared" si="1"/>
        <v>0</v>
      </c>
      <c r="G30" s="17">
        <v>5.0</v>
      </c>
      <c r="H30" s="21">
        <f t="shared" si="2"/>
        <v>0</v>
      </c>
      <c r="I30" s="21">
        <f t="shared" si="3"/>
        <v>13</v>
      </c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7">
        <v>25.0</v>
      </c>
      <c r="B31" s="17">
        <v>25.0</v>
      </c>
      <c r="C31" s="17">
        <v>3.25</v>
      </c>
      <c r="D31" s="17">
        <v>30.0</v>
      </c>
      <c r="E31" s="17"/>
      <c r="F31" s="21">
        <f t="shared" si="1"/>
        <v>0</v>
      </c>
      <c r="G31" s="17">
        <v>5.0</v>
      </c>
      <c r="H31" s="21">
        <f t="shared" si="2"/>
        <v>0</v>
      </c>
      <c r="I31" s="21">
        <f t="shared" si="3"/>
        <v>16.25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7">
        <v>26.0</v>
      </c>
      <c r="B32" s="17">
        <v>30.0</v>
      </c>
      <c r="C32" s="17">
        <v>3.25</v>
      </c>
      <c r="D32" s="17">
        <v>30.0</v>
      </c>
      <c r="E32" s="17"/>
      <c r="F32" s="21">
        <f t="shared" si="1"/>
        <v>0</v>
      </c>
      <c r="G32" s="17">
        <v>5.0</v>
      </c>
      <c r="H32" s="21">
        <f t="shared" si="2"/>
        <v>0</v>
      </c>
      <c r="I32" s="21">
        <f t="shared" si="3"/>
        <v>19.5</v>
      </c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7">
        <v>27.0</v>
      </c>
      <c r="B33" s="17">
        <v>35.0</v>
      </c>
      <c r="C33" s="17">
        <v>3.25</v>
      </c>
      <c r="D33" s="17">
        <v>30.0</v>
      </c>
      <c r="E33" s="17"/>
      <c r="F33" s="21">
        <f t="shared" si="1"/>
        <v>0</v>
      </c>
      <c r="G33" s="17">
        <v>5.0</v>
      </c>
      <c r="H33" s="21">
        <f t="shared" si="2"/>
        <v>0</v>
      </c>
      <c r="I33" s="21">
        <f t="shared" si="3"/>
        <v>22.75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7">
        <v>28.0</v>
      </c>
      <c r="B34" s="17">
        <v>40.0</v>
      </c>
      <c r="C34" s="17">
        <v>3.25</v>
      </c>
      <c r="D34" s="17">
        <v>30.0</v>
      </c>
      <c r="E34" s="17"/>
      <c r="F34" s="21">
        <f t="shared" si="1"/>
        <v>0</v>
      </c>
      <c r="G34" s="17">
        <v>5.0</v>
      </c>
      <c r="H34" s="21">
        <f t="shared" si="2"/>
        <v>0</v>
      </c>
      <c r="I34" s="21">
        <f t="shared" si="3"/>
        <v>26</v>
      </c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7">
        <v>29.0</v>
      </c>
      <c r="B35" s="17">
        <v>45.0</v>
      </c>
      <c r="C35" s="17">
        <v>3.25</v>
      </c>
      <c r="D35" s="17">
        <v>30.0</v>
      </c>
      <c r="E35" s="17"/>
      <c r="F35" s="21">
        <f t="shared" si="1"/>
        <v>0</v>
      </c>
      <c r="G35" s="17">
        <v>5.0</v>
      </c>
      <c r="H35" s="21">
        <f t="shared" si="2"/>
        <v>0</v>
      </c>
      <c r="I35" s="21">
        <f t="shared" si="3"/>
        <v>29.25</v>
      </c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7">
        <v>30.0</v>
      </c>
      <c r="B36" s="17">
        <v>50.0</v>
      </c>
      <c r="C36" s="17">
        <v>3.25</v>
      </c>
      <c r="D36" s="17">
        <v>30.0</v>
      </c>
      <c r="E36" s="17"/>
      <c r="F36" s="21">
        <f t="shared" si="1"/>
        <v>0</v>
      </c>
      <c r="G36" s="17">
        <v>5.0</v>
      </c>
      <c r="H36" s="21">
        <f t="shared" si="2"/>
        <v>0</v>
      </c>
      <c r="I36" s="21">
        <f t="shared" si="3"/>
        <v>32.5</v>
      </c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7">
        <v>31.0</v>
      </c>
      <c r="B37" s="17">
        <v>55.0</v>
      </c>
      <c r="C37" s="17">
        <v>3.25</v>
      </c>
      <c r="D37" s="17">
        <v>30.0</v>
      </c>
      <c r="E37" s="17"/>
      <c r="F37" s="21">
        <f t="shared" si="1"/>
        <v>0</v>
      </c>
      <c r="G37" s="17">
        <v>5.0</v>
      </c>
      <c r="H37" s="21">
        <f t="shared" si="2"/>
        <v>0</v>
      </c>
      <c r="I37" s="21">
        <f t="shared" si="3"/>
        <v>35.75</v>
      </c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7">
        <v>32.0</v>
      </c>
      <c r="B38" s="17">
        <v>60.0</v>
      </c>
      <c r="C38" s="17">
        <v>3.25</v>
      </c>
      <c r="D38" s="17">
        <v>30.0</v>
      </c>
      <c r="E38" s="17"/>
      <c r="F38" s="21">
        <f t="shared" si="1"/>
        <v>0</v>
      </c>
      <c r="G38" s="17">
        <v>5.0</v>
      </c>
      <c r="H38" s="21">
        <f t="shared" si="2"/>
        <v>0</v>
      </c>
      <c r="I38" s="21">
        <f t="shared" si="3"/>
        <v>39</v>
      </c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7">
        <v>33.0</v>
      </c>
      <c r="B39" s="17">
        <v>65.0</v>
      </c>
      <c r="C39" s="17">
        <v>3.25</v>
      </c>
      <c r="D39" s="17">
        <v>30.0</v>
      </c>
      <c r="E39" s="17"/>
      <c r="F39" s="21">
        <f t="shared" si="1"/>
        <v>0</v>
      </c>
      <c r="G39" s="17">
        <v>5.0</v>
      </c>
      <c r="H39" s="21">
        <f t="shared" si="2"/>
        <v>0</v>
      </c>
      <c r="I39" s="21">
        <f t="shared" si="3"/>
        <v>42.25</v>
      </c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7">
        <v>34.0</v>
      </c>
      <c r="B40" s="17">
        <v>70.0</v>
      </c>
      <c r="C40" s="17">
        <v>3.25</v>
      </c>
      <c r="D40" s="17">
        <v>30.0</v>
      </c>
      <c r="E40" s="17"/>
      <c r="F40" s="21">
        <f t="shared" si="1"/>
        <v>0</v>
      </c>
      <c r="G40" s="17">
        <v>5.0</v>
      </c>
      <c r="H40" s="21">
        <f t="shared" si="2"/>
        <v>0</v>
      </c>
      <c r="I40" s="21">
        <f t="shared" si="3"/>
        <v>45.5</v>
      </c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7">
        <v>35.0</v>
      </c>
      <c r="B41" s="17">
        <v>75.0</v>
      </c>
      <c r="C41" s="17">
        <v>3.25</v>
      </c>
      <c r="D41" s="17">
        <v>30.0</v>
      </c>
      <c r="E41" s="17"/>
      <c r="F41" s="21">
        <f t="shared" si="1"/>
        <v>0</v>
      </c>
      <c r="G41" s="17">
        <v>5.0</v>
      </c>
      <c r="H41" s="21">
        <f t="shared" si="2"/>
        <v>0</v>
      </c>
      <c r="I41" s="21">
        <f t="shared" si="3"/>
        <v>48.75</v>
      </c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7">
        <v>36.0</v>
      </c>
      <c r="B42" s="17">
        <v>80.0</v>
      </c>
      <c r="C42" s="17">
        <v>3.25</v>
      </c>
      <c r="D42" s="17">
        <v>30.0</v>
      </c>
      <c r="E42" s="17"/>
      <c r="F42" s="21">
        <f t="shared" si="1"/>
        <v>0</v>
      </c>
      <c r="G42" s="17">
        <v>5.0</v>
      </c>
      <c r="H42" s="21">
        <f t="shared" si="2"/>
        <v>0</v>
      </c>
      <c r="I42" s="21">
        <f t="shared" si="3"/>
        <v>52</v>
      </c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7">
        <v>37.0</v>
      </c>
      <c r="B43" s="17">
        <v>85.0</v>
      </c>
      <c r="C43" s="17">
        <v>3.25</v>
      </c>
      <c r="D43" s="17">
        <v>30.0</v>
      </c>
      <c r="E43" s="17"/>
      <c r="F43" s="21">
        <f t="shared" si="1"/>
        <v>0</v>
      </c>
      <c r="G43" s="17">
        <v>5.0</v>
      </c>
      <c r="H43" s="21">
        <f t="shared" si="2"/>
        <v>0</v>
      </c>
      <c r="I43" s="21">
        <f t="shared" si="3"/>
        <v>55.25</v>
      </c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7">
        <v>38.0</v>
      </c>
      <c r="B44" s="17">
        <v>90.0</v>
      </c>
      <c r="C44" s="17">
        <v>3.25</v>
      </c>
      <c r="D44" s="17">
        <v>30.0</v>
      </c>
      <c r="E44" s="17"/>
      <c r="F44" s="21">
        <f t="shared" si="1"/>
        <v>0</v>
      </c>
      <c r="G44" s="17">
        <v>5.0</v>
      </c>
      <c r="H44" s="21">
        <f t="shared" si="2"/>
        <v>0</v>
      </c>
      <c r="I44" s="21">
        <f t="shared" si="3"/>
        <v>58.5</v>
      </c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7">
        <v>39.0</v>
      </c>
      <c r="B45" s="17">
        <v>95.0</v>
      </c>
      <c r="C45" s="17">
        <v>3.25</v>
      </c>
      <c r="D45" s="17">
        <v>30.0</v>
      </c>
      <c r="E45" s="17"/>
      <c r="F45" s="21">
        <f t="shared" si="1"/>
        <v>0</v>
      </c>
      <c r="G45" s="17">
        <v>5.0</v>
      </c>
      <c r="H45" s="21">
        <f t="shared" si="2"/>
        <v>0</v>
      </c>
      <c r="I45" s="21">
        <f t="shared" si="3"/>
        <v>61.75</v>
      </c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7">
        <v>40.0</v>
      </c>
      <c r="B46" s="17">
        <v>100.0</v>
      </c>
      <c r="C46" s="17">
        <v>3.25</v>
      </c>
      <c r="D46" s="17">
        <v>30.0</v>
      </c>
      <c r="E46" s="17"/>
      <c r="F46" s="21">
        <f t="shared" si="1"/>
        <v>0</v>
      </c>
      <c r="G46" s="17">
        <v>5.0</v>
      </c>
      <c r="H46" s="21">
        <f t="shared" si="2"/>
        <v>0</v>
      </c>
      <c r="I46" s="21">
        <f t="shared" si="3"/>
        <v>65</v>
      </c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7">
        <v>41.0</v>
      </c>
      <c r="B47" s="17">
        <v>5.0</v>
      </c>
      <c r="C47" s="17">
        <v>4.0</v>
      </c>
      <c r="D47" s="17">
        <v>30.0</v>
      </c>
      <c r="E47" s="17"/>
      <c r="F47" s="21">
        <f t="shared" si="1"/>
        <v>0</v>
      </c>
      <c r="G47" s="17">
        <v>5.0</v>
      </c>
      <c r="H47" s="21">
        <f t="shared" si="2"/>
        <v>0</v>
      </c>
      <c r="I47" s="21">
        <f t="shared" si="3"/>
        <v>3.25</v>
      </c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7">
        <v>42.0</v>
      </c>
      <c r="B48" s="17">
        <v>10.0</v>
      </c>
      <c r="C48" s="17">
        <v>4.0</v>
      </c>
      <c r="D48" s="17">
        <v>30.0</v>
      </c>
      <c r="E48" s="17"/>
      <c r="F48" s="21">
        <f t="shared" si="1"/>
        <v>0</v>
      </c>
      <c r="G48" s="17">
        <v>5.0</v>
      </c>
      <c r="H48" s="21">
        <f t="shared" si="2"/>
        <v>0</v>
      </c>
      <c r="I48" s="21">
        <f t="shared" si="3"/>
        <v>6.5</v>
      </c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7">
        <v>43.0</v>
      </c>
      <c r="B49" s="17">
        <v>15.0</v>
      </c>
      <c r="C49" s="17">
        <v>4.0</v>
      </c>
      <c r="D49" s="17">
        <v>30.0</v>
      </c>
      <c r="E49" s="17"/>
      <c r="F49" s="21">
        <f t="shared" si="1"/>
        <v>0</v>
      </c>
      <c r="G49" s="17">
        <v>5.0</v>
      </c>
      <c r="H49" s="21">
        <f t="shared" si="2"/>
        <v>0</v>
      </c>
      <c r="I49" s="21">
        <f t="shared" si="3"/>
        <v>9.75</v>
      </c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7">
        <v>44.0</v>
      </c>
      <c r="B50" s="17">
        <v>20.0</v>
      </c>
      <c r="C50" s="17">
        <v>4.0</v>
      </c>
      <c r="D50" s="17">
        <v>30.0</v>
      </c>
      <c r="E50" s="17"/>
      <c r="F50" s="21">
        <f t="shared" si="1"/>
        <v>0</v>
      </c>
      <c r="G50" s="17">
        <v>5.0</v>
      </c>
      <c r="H50" s="21">
        <f t="shared" si="2"/>
        <v>0</v>
      </c>
      <c r="I50" s="21">
        <f t="shared" si="3"/>
        <v>13</v>
      </c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7">
        <v>45.0</v>
      </c>
      <c r="B51" s="17">
        <v>25.0</v>
      </c>
      <c r="C51" s="17">
        <v>4.0</v>
      </c>
      <c r="D51" s="17">
        <v>30.0</v>
      </c>
      <c r="E51" s="17"/>
      <c r="F51" s="21">
        <f t="shared" si="1"/>
        <v>0</v>
      </c>
      <c r="G51" s="17">
        <v>5.0</v>
      </c>
      <c r="H51" s="21">
        <f t="shared" si="2"/>
        <v>0</v>
      </c>
      <c r="I51" s="21">
        <f t="shared" si="3"/>
        <v>16.25</v>
      </c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7">
        <v>46.0</v>
      </c>
      <c r="B52" s="17">
        <v>30.0</v>
      </c>
      <c r="C52" s="17">
        <v>4.0</v>
      </c>
      <c r="D52" s="17">
        <v>30.0</v>
      </c>
      <c r="E52" s="17"/>
      <c r="F52" s="21">
        <f t="shared" si="1"/>
        <v>0</v>
      </c>
      <c r="G52" s="17">
        <v>5.0</v>
      </c>
      <c r="H52" s="21">
        <f t="shared" si="2"/>
        <v>0</v>
      </c>
      <c r="I52" s="21">
        <f t="shared" si="3"/>
        <v>19.5</v>
      </c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7">
        <v>47.0</v>
      </c>
      <c r="B53" s="17">
        <v>35.0</v>
      </c>
      <c r="C53" s="17">
        <v>4.0</v>
      </c>
      <c r="D53" s="17">
        <v>30.0</v>
      </c>
      <c r="E53" s="17"/>
      <c r="F53" s="21">
        <f t="shared" si="1"/>
        <v>0</v>
      </c>
      <c r="G53" s="17">
        <v>5.0</v>
      </c>
      <c r="H53" s="21">
        <f t="shared" si="2"/>
        <v>0</v>
      </c>
      <c r="I53" s="21">
        <f t="shared" si="3"/>
        <v>22.75</v>
      </c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7">
        <v>48.0</v>
      </c>
      <c r="B54" s="17">
        <v>40.0</v>
      </c>
      <c r="C54" s="17">
        <v>4.0</v>
      </c>
      <c r="D54" s="17">
        <v>30.0</v>
      </c>
      <c r="E54" s="17"/>
      <c r="F54" s="21">
        <f t="shared" si="1"/>
        <v>0</v>
      </c>
      <c r="G54" s="17">
        <v>5.0</v>
      </c>
      <c r="H54" s="21">
        <f t="shared" si="2"/>
        <v>0</v>
      </c>
      <c r="I54" s="21">
        <f t="shared" si="3"/>
        <v>26</v>
      </c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7">
        <v>49.0</v>
      </c>
      <c r="B55" s="17">
        <v>45.0</v>
      </c>
      <c r="C55" s="17">
        <v>4.0</v>
      </c>
      <c r="D55" s="17">
        <v>30.0</v>
      </c>
      <c r="E55" s="17"/>
      <c r="F55" s="21">
        <f t="shared" si="1"/>
        <v>0</v>
      </c>
      <c r="G55" s="17">
        <v>5.0</v>
      </c>
      <c r="H55" s="21">
        <f t="shared" si="2"/>
        <v>0</v>
      </c>
      <c r="I55" s="21">
        <f t="shared" si="3"/>
        <v>29.25</v>
      </c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7">
        <v>50.0</v>
      </c>
      <c r="B56" s="17">
        <v>50.0</v>
      </c>
      <c r="C56" s="17">
        <v>4.0</v>
      </c>
      <c r="D56" s="17">
        <v>30.0</v>
      </c>
      <c r="E56" s="17"/>
      <c r="F56" s="21">
        <f t="shared" si="1"/>
        <v>0</v>
      </c>
      <c r="G56" s="17">
        <v>5.0</v>
      </c>
      <c r="H56" s="21">
        <f t="shared" si="2"/>
        <v>0</v>
      </c>
      <c r="I56" s="21">
        <f t="shared" si="3"/>
        <v>32.5</v>
      </c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7">
        <v>51.0</v>
      </c>
      <c r="B57" s="17">
        <v>55.0</v>
      </c>
      <c r="C57" s="17">
        <v>4.0</v>
      </c>
      <c r="D57" s="17">
        <v>30.0</v>
      </c>
      <c r="E57" s="17"/>
      <c r="F57" s="21">
        <f t="shared" si="1"/>
        <v>0</v>
      </c>
      <c r="G57" s="17">
        <v>5.0</v>
      </c>
      <c r="H57" s="21">
        <f t="shared" si="2"/>
        <v>0</v>
      </c>
      <c r="I57" s="21">
        <f t="shared" si="3"/>
        <v>35.75</v>
      </c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7">
        <v>52.0</v>
      </c>
      <c r="B58" s="17">
        <v>60.0</v>
      </c>
      <c r="C58" s="17">
        <v>4.0</v>
      </c>
      <c r="D58" s="17">
        <v>30.0</v>
      </c>
      <c r="E58" s="17"/>
      <c r="F58" s="21">
        <f t="shared" si="1"/>
        <v>0</v>
      </c>
      <c r="G58" s="17">
        <v>5.0</v>
      </c>
      <c r="H58" s="21">
        <f t="shared" si="2"/>
        <v>0</v>
      </c>
      <c r="I58" s="21">
        <f t="shared" si="3"/>
        <v>39</v>
      </c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7">
        <v>53.0</v>
      </c>
      <c r="B59" s="17">
        <v>65.0</v>
      </c>
      <c r="C59" s="17">
        <v>4.0</v>
      </c>
      <c r="D59" s="17">
        <v>30.0</v>
      </c>
      <c r="E59" s="17"/>
      <c r="F59" s="21">
        <f t="shared" si="1"/>
        <v>0</v>
      </c>
      <c r="G59" s="17">
        <v>5.0</v>
      </c>
      <c r="H59" s="21">
        <f t="shared" si="2"/>
        <v>0</v>
      </c>
      <c r="I59" s="21">
        <f t="shared" si="3"/>
        <v>42.25</v>
      </c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7">
        <v>54.0</v>
      </c>
      <c r="B60" s="17">
        <v>70.0</v>
      </c>
      <c r="C60" s="17">
        <v>4.0</v>
      </c>
      <c r="D60" s="17">
        <v>30.0</v>
      </c>
      <c r="E60" s="17"/>
      <c r="F60" s="21">
        <f t="shared" si="1"/>
        <v>0</v>
      </c>
      <c r="G60" s="17">
        <v>5.0</v>
      </c>
      <c r="H60" s="21">
        <f t="shared" si="2"/>
        <v>0</v>
      </c>
      <c r="I60" s="21">
        <f t="shared" si="3"/>
        <v>45.5</v>
      </c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7">
        <v>55.0</v>
      </c>
      <c r="B61" s="17">
        <v>75.0</v>
      </c>
      <c r="C61" s="17">
        <v>4.0</v>
      </c>
      <c r="D61" s="17">
        <v>30.0</v>
      </c>
      <c r="E61" s="17"/>
      <c r="F61" s="21">
        <f t="shared" si="1"/>
        <v>0</v>
      </c>
      <c r="G61" s="17">
        <v>5.0</v>
      </c>
      <c r="H61" s="21">
        <f t="shared" si="2"/>
        <v>0</v>
      </c>
      <c r="I61" s="21">
        <f t="shared" si="3"/>
        <v>48.75</v>
      </c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7">
        <v>56.0</v>
      </c>
      <c r="B62" s="17">
        <v>80.0</v>
      </c>
      <c r="C62" s="17">
        <v>4.0</v>
      </c>
      <c r="D62" s="17">
        <v>30.0</v>
      </c>
      <c r="E62" s="17"/>
      <c r="F62" s="21">
        <f t="shared" si="1"/>
        <v>0</v>
      </c>
      <c r="G62" s="17">
        <v>5.0</v>
      </c>
      <c r="H62" s="21">
        <f t="shared" si="2"/>
        <v>0</v>
      </c>
      <c r="I62" s="21">
        <f t="shared" si="3"/>
        <v>52</v>
      </c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7">
        <v>57.0</v>
      </c>
      <c r="B63" s="17">
        <v>85.0</v>
      </c>
      <c r="C63" s="17">
        <v>4.0</v>
      </c>
      <c r="D63" s="17">
        <v>30.0</v>
      </c>
      <c r="E63" s="17"/>
      <c r="F63" s="21">
        <f t="shared" si="1"/>
        <v>0</v>
      </c>
      <c r="G63" s="17">
        <v>5.0</v>
      </c>
      <c r="H63" s="21">
        <f t="shared" si="2"/>
        <v>0</v>
      </c>
      <c r="I63" s="21">
        <f t="shared" si="3"/>
        <v>55.25</v>
      </c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7">
        <v>58.0</v>
      </c>
      <c r="B64" s="17">
        <v>90.0</v>
      </c>
      <c r="C64" s="17">
        <v>4.0</v>
      </c>
      <c r="D64" s="17">
        <v>30.0</v>
      </c>
      <c r="E64" s="17"/>
      <c r="F64" s="21">
        <f t="shared" si="1"/>
        <v>0</v>
      </c>
      <c r="G64" s="17">
        <v>5.0</v>
      </c>
      <c r="H64" s="21">
        <f t="shared" si="2"/>
        <v>0</v>
      </c>
      <c r="I64" s="21">
        <f t="shared" si="3"/>
        <v>58.5</v>
      </c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7">
        <v>59.0</v>
      </c>
      <c r="B65" s="17">
        <v>95.0</v>
      </c>
      <c r="C65" s="17">
        <v>4.0</v>
      </c>
      <c r="D65" s="17">
        <v>30.0</v>
      </c>
      <c r="E65" s="17"/>
      <c r="F65" s="21">
        <f t="shared" si="1"/>
        <v>0</v>
      </c>
      <c r="G65" s="17">
        <v>5.0</v>
      </c>
      <c r="H65" s="21">
        <f t="shared" si="2"/>
        <v>0</v>
      </c>
      <c r="I65" s="21">
        <f t="shared" si="3"/>
        <v>61.75</v>
      </c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7">
        <v>60.0</v>
      </c>
      <c r="B66" s="17">
        <v>100.0</v>
      </c>
      <c r="C66" s="17">
        <v>4.0</v>
      </c>
      <c r="D66" s="17">
        <v>30.0</v>
      </c>
      <c r="E66" s="17"/>
      <c r="F66" s="21">
        <f t="shared" si="1"/>
        <v>0</v>
      </c>
      <c r="G66" s="17">
        <v>5.0</v>
      </c>
      <c r="H66" s="21">
        <f t="shared" si="2"/>
        <v>0</v>
      </c>
      <c r="I66" s="21">
        <f t="shared" si="3"/>
        <v>65</v>
      </c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9" t="s">
        <v>110</v>
      </c>
      <c r="B69" s="19" t="s">
        <v>111</v>
      </c>
      <c r="C69" s="19" t="s">
        <v>112</v>
      </c>
      <c r="D69" s="19" t="s">
        <v>113</v>
      </c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54">
        <v>2.5</v>
      </c>
      <c r="B70" s="41">
        <v>6.0</v>
      </c>
      <c r="C70" s="18">
        <v>2.5</v>
      </c>
      <c r="D70" s="18">
        <v>41.63</v>
      </c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42"/>
      <c r="B71" s="42"/>
      <c r="C71" s="17">
        <v>3.0</v>
      </c>
      <c r="D71" s="17">
        <v>54.02</v>
      </c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42"/>
      <c r="B72" s="42"/>
      <c r="C72" s="17">
        <v>3.5</v>
      </c>
      <c r="D72" s="17">
        <v>66.86</v>
      </c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42"/>
      <c r="B73" s="42"/>
      <c r="C73" s="17">
        <v>4.0</v>
      </c>
      <c r="D73" s="17">
        <v>81.03</v>
      </c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42"/>
      <c r="B74" s="42"/>
      <c r="C74" s="17">
        <v>4.5</v>
      </c>
      <c r="D74" s="17">
        <v>90.29</v>
      </c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42"/>
      <c r="B75" s="42"/>
      <c r="C75" s="17">
        <v>5.0</v>
      </c>
      <c r="D75" s="17" t="s">
        <v>89</v>
      </c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42"/>
      <c r="B76" s="42"/>
      <c r="C76" s="17">
        <v>5.5</v>
      </c>
      <c r="D76" s="17" t="s">
        <v>89</v>
      </c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42"/>
      <c r="B77" s="46"/>
      <c r="C77" s="17">
        <v>6.0</v>
      </c>
      <c r="D77" s="34" t="s">
        <v>89</v>
      </c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42"/>
      <c r="B78" s="41">
        <v>7.0</v>
      </c>
      <c r="C78" s="17">
        <v>2.5</v>
      </c>
      <c r="D78" s="17">
        <v>52.32</v>
      </c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42"/>
      <c r="B79" s="42"/>
      <c r="C79" s="17">
        <v>3.0</v>
      </c>
      <c r="D79" s="17">
        <v>71.15</v>
      </c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42"/>
      <c r="B80" s="42"/>
      <c r="C80" s="17">
        <v>3.5</v>
      </c>
      <c r="D80" s="17">
        <v>82.42</v>
      </c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42"/>
      <c r="B81" s="42"/>
      <c r="C81" s="17">
        <v>4.0</v>
      </c>
      <c r="D81" s="17">
        <v>99.04</v>
      </c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42"/>
      <c r="B82" s="42"/>
      <c r="C82" s="17">
        <v>4.5</v>
      </c>
      <c r="D82" s="17" t="s">
        <v>89</v>
      </c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42"/>
      <c r="B83" s="42"/>
      <c r="C83" s="17">
        <v>5.0</v>
      </c>
      <c r="D83" s="17" t="s">
        <v>89</v>
      </c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42"/>
      <c r="B84" s="42"/>
      <c r="C84" s="17">
        <v>5.5</v>
      </c>
      <c r="D84" s="17" t="s">
        <v>89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42"/>
      <c r="B85" s="46"/>
      <c r="C85" s="17">
        <v>6.0</v>
      </c>
      <c r="D85" s="17" t="s">
        <v>89</v>
      </c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42"/>
      <c r="B86" s="41">
        <v>8.0</v>
      </c>
      <c r="C86" s="17">
        <v>2.5</v>
      </c>
      <c r="D86" s="17">
        <v>64.01</v>
      </c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42"/>
      <c r="B87" s="42"/>
      <c r="C87" s="17">
        <v>3.0</v>
      </c>
      <c r="D87" s="17">
        <v>83.28</v>
      </c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42"/>
      <c r="B88" s="42"/>
      <c r="C88" s="17">
        <v>3.5</v>
      </c>
      <c r="D88" s="17">
        <v>94.16</v>
      </c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42"/>
      <c r="B89" s="42"/>
      <c r="C89" s="17">
        <v>4.0</v>
      </c>
      <c r="D89" s="17" t="s">
        <v>89</v>
      </c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42"/>
      <c r="B90" s="42"/>
      <c r="C90" s="17">
        <v>4.5</v>
      </c>
      <c r="D90" s="17" t="s">
        <v>89</v>
      </c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42"/>
      <c r="B91" s="42"/>
      <c r="C91" s="17">
        <v>5.0</v>
      </c>
      <c r="D91" s="17" t="s">
        <v>89</v>
      </c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42"/>
      <c r="B92" s="42"/>
      <c r="C92" s="17">
        <v>5.5</v>
      </c>
      <c r="D92" s="17" t="s">
        <v>89</v>
      </c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42"/>
      <c r="B93" s="46"/>
      <c r="C93" s="17">
        <v>6.0</v>
      </c>
      <c r="D93" s="17" t="s">
        <v>89</v>
      </c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42"/>
      <c r="B94" s="41">
        <v>9.0</v>
      </c>
      <c r="C94" s="17">
        <v>2.5</v>
      </c>
      <c r="D94" s="17">
        <v>74.95</v>
      </c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42"/>
      <c r="B95" s="42"/>
      <c r="C95" s="17">
        <v>3.0</v>
      </c>
      <c r="D95" s="17">
        <v>93.87</v>
      </c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42"/>
      <c r="B96" s="42"/>
      <c r="C96" s="17">
        <v>3.5</v>
      </c>
      <c r="D96" s="17" t="s">
        <v>89</v>
      </c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42"/>
      <c r="B97" s="42"/>
      <c r="C97" s="17">
        <v>4.0</v>
      </c>
      <c r="D97" s="17" t="s">
        <v>89</v>
      </c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42"/>
      <c r="B98" s="42"/>
      <c r="C98" s="17">
        <v>4.5</v>
      </c>
      <c r="D98" s="17" t="s">
        <v>89</v>
      </c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42"/>
      <c r="B99" s="42"/>
      <c r="C99" s="17">
        <v>5.0</v>
      </c>
      <c r="D99" s="17" t="s">
        <v>89</v>
      </c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42"/>
      <c r="B100" s="42"/>
      <c r="C100" s="17">
        <v>5.5</v>
      </c>
      <c r="D100" s="17" t="s">
        <v>89</v>
      </c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42"/>
      <c r="B101" s="46"/>
      <c r="C101" s="17">
        <v>6.0</v>
      </c>
      <c r="D101" s="17" t="s">
        <v>89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42"/>
      <c r="B102" s="41">
        <v>10.0</v>
      </c>
      <c r="C102" s="17">
        <v>2.5</v>
      </c>
      <c r="D102" s="17">
        <v>85.85</v>
      </c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42"/>
      <c r="B103" s="42"/>
      <c r="C103" s="17">
        <v>3.0</v>
      </c>
      <c r="D103" s="17" t="s">
        <v>89</v>
      </c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42"/>
      <c r="B104" s="42"/>
      <c r="C104" s="17">
        <v>3.5</v>
      </c>
      <c r="D104" s="17" t="s">
        <v>89</v>
      </c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42"/>
      <c r="B105" s="42"/>
      <c r="C105" s="17">
        <v>4.0</v>
      </c>
      <c r="D105" s="17" t="s">
        <v>89</v>
      </c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42"/>
      <c r="B106" s="42"/>
      <c r="C106" s="17">
        <v>4.5</v>
      </c>
      <c r="D106" s="17" t="s">
        <v>89</v>
      </c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42"/>
      <c r="B107" s="42"/>
      <c r="C107" s="17">
        <v>5.0</v>
      </c>
      <c r="D107" s="17" t="s">
        <v>89</v>
      </c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42"/>
      <c r="B108" s="42"/>
      <c r="C108" s="17">
        <v>5.5</v>
      </c>
      <c r="D108" s="17" t="s">
        <v>89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42"/>
      <c r="B109" s="46"/>
      <c r="C109" s="17">
        <v>6.0</v>
      </c>
      <c r="D109" s="17" t="s">
        <v>89</v>
      </c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42"/>
      <c r="B110" s="41">
        <v>11.0</v>
      </c>
      <c r="C110" s="17">
        <v>2.5</v>
      </c>
      <c r="D110" s="17">
        <v>95.31</v>
      </c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42"/>
      <c r="B111" s="42"/>
      <c r="C111" s="17">
        <v>3.0</v>
      </c>
      <c r="D111" s="17" t="s">
        <v>89</v>
      </c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42"/>
      <c r="B112" s="42"/>
      <c r="C112" s="17">
        <v>3.5</v>
      </c>
      <c r="D112" s="17" t="s">
        <v>89</v>
      </c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42"/>
      <c r="B113" s="42"/>
      <c r="C113" s="17">
        <v>4.0</v>
      </c>
      <c r="D113" s="17" t="s">
        <v>89</v>
      </c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42"/>
      <c r="B114" s="42"/>
      <c r="C114" s="17">
        <v>4.5</v>
      </c>
      <c r="D114" s="17" t="s">
        <v>89</v>
      </c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42"/>
      <c r="B115" s="42"/>
      <c r="C115" s="17">
        <v>5.0</v>
      </c>
      <c r="D115" s="17" t="s">
        <v>89</v>
      </c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42"/>
      <c r="B116" s="42"/>
      <c r="C116" s="17">
        <v>5.5</v>
      </c>
      <c r="D116" s="17" t="s">
        <v>89</v>
      </c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42"/>
      <c r="B117" s="46"/>
      <c r="C117" s="17">
        <v>6.0</v>
      </c>
      <c r="D117" s="17" t="s">
        <v>89</v>
      </c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42"/>
      <c r="B118" s="41">
        <v>12.0</v>
      </c>
      <c r="C118" s="17">
        <v>2.5</v>
      </c>
      <c r="D118" s="17" t="s">
        <v>89</v>
      </c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42"/>
      <c r="B119" s="42"/>
      <c r="C119" s="17">
        <v>3.0</v>
      </c>
      <c r="D119" s="17" t="s">
        <v>89</v>
      </c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42"/>
      <c r="B120" s="42"/>
      <c r="C120" s="17">
        <v>3.5</v>
      </c>
      <c r="D120" s="17" t="s">
        <v>89</v>
      </c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42"/>
      <c r="B121" s="42"/>
      <c r="C121" s="17">
        <v>4.0</v>
      </c>
      <c r="D121" s="17" t="s">
        <v>89</v>
      </c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42"/>
      <c r="B122" s="42"/>
      <c r="C122" s="17">
        <v>4.5</v>
      </c>
      <c r="D122" s="17" t="s">
        <v>89</v>
      </c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42"/>
      <c r="B123" s="42"/>
      <c r="C123" s="17">
        <v>5.0</v>
      </c>
      <c r="D123" s="17" t="s">
        <v>89</v>
      </c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42"/>
      <c r="B124" s="42"/>
      <c r="C124" s="17">
        <v>5.5</v>
      </c>
      <c r="D124" s="17" t="s">
        <v>89</v>
      </c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46"/>
      <c r="B125" s="46"/>
      <c r="C125" s="17">
        <v>6.0</v>
      </c>
      <c r="D125" s="17" t="s">
        <v>89</v>
      </c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55">
        <v>3.25</v>
      </c>
      <c r="B126" s="41">
        <v>6.0</v>
      </c>
      <c r="C126" s="17">
        <v>2.5</v>
      </c>
      <c r="D126" s="17">
        <v>24.76</v>
      </c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42"/>
      <c r="B127" s="42"/>
      <c r="C127" s="17">
        <v>3.0</v>
      </c>
      <c r="D127" s="17">
        <v>28.26</v>
      </c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42"/>
      <c r="B128" s="42"/>
      <c r="C128" s="17">
        <v>3.5</v>
      </c>
      <c r="D128" s="17">
        <v>31.19</v>
      </c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42"/>
      <c r="B129" s="42"/>
      <c r="C129" s="17">
        <v>4.0</v>
      </c>
      <c r="D129" s="17">
        <v>34.52</v>
      </c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42"/>
      <c r="B130" s="42"/>
      <c r="C130" s="17">
        <v>4.5</v>
      </c>
      <c r="D130" s="17">
        <v>37.83</v>
      </c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42"/>
      <c r="B131" s="42"/>
      <c r="C131" s="17">
        <v>5.0</v>
      </c>
      <c r="D131" s="17">
        <v>42.42</v>
      </c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42"/>
      <c r="B132" s="42"/>
      <c r="C132" s="17">
        <v>5.5</v>
      </c>
      <c r="D132" s="17">
        <v>44.09</v>
      </c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42"/>
      <c r="B133" s="46"/>
      <c r="C133" s="17">
        <v>6.0</v>
      </c>
      <c r="D133" s="34">
        <v>46.31</v>
      </c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42"/>
      <c r="B134" s="41">
        <v>7.0</v>
      </c>
      <c r="C134" s="17">
        <v>2.5</v>
      </c>
      <c r="D134" s="17">
        <v>27.41</v>
      </c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42"/>
      <c r="B135" s="42"/>
      <c r="C135" s="17">
        <v>3.0</v>
      </c>
      <c r="D135" s="17">
        <v>31.96</v>
      </c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42"/>
      <c r="B136" s="42"/>
      <c r="C136" s="17">
        <v>3.5</v>
      </c>
      <c r="D136" s="17">
        <v>34.97</v>
      </c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42"/>
      <c r="B137" s="42"/>
      <c r="C137" s="17">
        <v>4.0</v>
      </c>
      <c r="D137" s="17">
        <v>40.6</v>
      </c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42"/>
      <c r="B138" s="42"/>
      <c r="C138" s="17">
        <v>4.5</v>
      </c>
      <c r="D138" s="17">
        <v>45.56</v>
      </c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42"/>
      <c r="B139" s="42"/>
      <c r="C139" s="17">
        <v>5.0</v>
      </c>
      <c r="D139" s="17">
        <v>52.82</v>
      </c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42"/>
      <c r="B140" s="42"/>
      <c r="C140" s="17">
        <v>5.5</v>
      </c>
      <c r="D140" s="17">
        <v>54.77</v>
      </c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42"/>
      <c r="B141" s="46"/>
      <c r="C141" s="17">
        <v>6.0</v>
      </c>
      <c r="D141" s="17">
        <v>56.01</v>
      </c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42"/>
      <c r="B142" s="41">
        <v>8.0</v>
      </c>
      <c r="C142" s="17">
        <v>2.5</v>
      </c>
      <c r="D142" s="17">
        <v>30.7</v>
      </c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42"/>
      <c r="B143" s="42"/>
      <c r="C143" s="17">
        <v>3.0</v>
      </c>
      <c r="D143" s="17">
        <v>35.44</v>
      </c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42"/>
      <c r="B144" s="42"/>
      <c r="C144" s="17">
        <v>3.5</v>
      </c>
      <c r="D144" s="17">
        <v>40.41</v>
      </c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42"/>
      <c r="B145" s="42"/>
      <c r="C145" s="17">
        <v>4.0</v>
      </c>
      <c r="D145" s="17">
        <v>49.24</v>
      </c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42"/>
      <c r="B146" s="42"/>
      <c r="C146" s="17">
        <v>4.5</v>
      </c>
      <c r="D146" s="17">
        <v>54.95</v>
      </c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42"/>
      <c r="B147" s="42"/>
      <c r="C147" s="17">
        <v>5.0</v>
      </c>
      <c r="D147" s="17">
        <v>58.58</v>
      </c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42"/>
      <c r="B148" s="42"/>
      <c r="C148" s="17">
        <v>5.5</v>
      </c>
      <c r="D148" s="17">
        <v>59.79</v>
      </c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42"/>
      <c r="B149" s="46"/>
      <c r="C149" s="17">
        <v>6.0</v>
      </c>
      <c r="D149" s="17">
        <v>64.0</v>
      </c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42"/>
      <c r="B150" s="41">
        <v>9.0</v>
      </c>
      <c r="C150" s="17">
        <v>2.5</v>
      </c>
      <c r="D150" s="17">
        <v>33.48</v>
      </c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42"/>
      <c r="B151" s="42"/>
      <c r="C151" s="17">
        <v>3.0</v>
      </c>
      <c r="D151" s="17">
        <v>40.27</v>
      </c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42"/>
      <c r="B152" s="42"/>
      <c r="C152" s="17">
        <v>3.5</v>
      </c>
      <c r="D152" s="17">
        <v>47.57</v>
      </c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42"/>
      <c r="B153" s="42"/>
      <c r="C153" s="17">
        <v>4.0</v>
      </c>
      <c r="D153" s="17">
        <v>55.94</v>
      </c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42"/>
      <c r="B154" s="42"/>
      <c r="C154" s="17">
        <v>4.5</v>
      </c>
      <c r="D154" s="17">
        <v>59.29</v>
      </c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42"/>
      <c r="B155" s="42"/>
      <c r="C155" s="17">
        <v>5.0</v>
      </c>
      <c r="D155" s="17">
        <v>68.11</v>
      </c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42"/>
      <c r="B156" s="42"/>
      <c r="C156" s="17">
        <v>5.5</v>
      </c>
      <c r="D156" s="17">
        <v>70.2</v>
      </c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42"/>
      <c r="B157" s="46"/>
      <c r="C157" s="17">
        <v>6.0</v>
      </c>
      <c r="D157" s="17">
        <v>71.99</v>
      </c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42"/>
      <c r="B158" s="41">
        <v>10.0</v>
      </c>
      <c r="C158" s="17">
        <v>2.5</v>
      </c>
      <c r="D158" s="17">
        <v>36.79</v>
      </c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42"/>
      <c r="B159" s="42"/>
      <c r="C159" s="17">
        <v>3.0</v>
      </c>
      <c r="D159" s="17">
        <v>46.28</v>
      </c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42"/>
      <c r="B160" s="42"/>
      <c r="C160" s="17">
        <v>3.5</v>
      </c>
      <c r="D160" s="17">
        <v>54.68</v>
      </c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42"/>
      <c r="B161" s="42"/>
      <c r="C161" s="17">
        <v>4.0</v>
      </c>
      <c r="D161" s="17">
        <v>59.88</v>
      </c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42"/>
      <c r="B162" s="42"/>
      <c r="C162" s="17">
        <v>4.5</v>
      </c>
      <c r="D162" s="17">
        <v>68.52</v>
      </c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42"/>
      <c r="B163" s="42"/>
      <c r="C163" s="17">
        <v>5.0</v>
      </c>
      <c r="D163" s="17">
        <v>74.35</v>
      </c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42"/>
      <c r="B164" s="42"/>
      <c r="C164" s="17">
        <v>5.5</v>
      </c>
      <c r="D164" s="17">
        <v>80.3</v>
      </c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42"/>
      <c r="B165" s="46"/>
      <c r="C165" s="17">
        <v>6.0</v>
      </c>
      <c r="D165" s="17">
        <v>85.47</v>
      </c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42"/>
      <c r="B166" s="41">
        <v>11.0</v>
      </c>
      <c r="C166" s="17">
        <v>2.5</v>
      </c>
      <c r="D166" s="17">
        <v>40.88</v>
      </c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42"/>
      <c r="B167" s="42"/>
      <c r="C167" s="17">
        <v>3.0</v>
      </c>
      <c r="D167" s="17">
        <v>53.11</v>
      </c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42"/>
      <c r="B168" s="42"/>
      <c r="C168" s="17">
        <v>3.5</v>
      </c>
      <c r="D168" s="17">
        <v>58.26</v>
      </c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42"/>
      <c r="B169" s="42"/>
      <c r="C169" s="17">
        <v>4.0</v>
      </c>
      <c r="D169" s="17">
        <v>68.86</v>
      </c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42"/>
      <c r="B170" s="42"/>
      <c r="C170" s="17">
        <v>4.5</v>
      </c>
      <c r="D170" s="17">
        <v>74.12</v>
      </c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42"/>
      <c r="B171" s="42"/>
      <c r="C171" s="17">
        <v>5.0</v>
      </c>
      <c r="D171" s="17">
        <v>87.7</v>
      </c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42"/>
      <c r="B172" s="42"/>
      <c r="C172" s="17">
        <v>5.5</v>
      </c>
      <c r="D172" s="17">
        <v>90.0</v>
      </c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42"/>
      <c r="B173" s="46"/>
      <c r="C173" s="17">
        <v>6.0</v>
      </c>
      <c r="D173" s="17">
        <v>99.81</v>
      </c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42"/>
      <c r="B174" s="41">
        <v>12.0</v>
      </c>
      <c r="C174" s="17">
        <v>2.5</v>
      </c>
      <c r="D174" s="17">
        <v>45.77</v>
      </c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42"/>
      <c r="B175" s="42"/>
      <c r="C175" s="17">
        <v>3.0</v>
      </c>
      <c r="D175" s="17">
        <v>57.01</v>
      </c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42"/>
      <c r="B176" s="42"/>
      <c r="C176" s="17">
        <v>3.5</v>
      </c>
      <c r="D176" s="17">
        <v>65.53</v>
      </c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42"/>
      <c r="B177" s="42"/>
      <c r="C177" s="17">
        <v>4.0</v>
      </c>
      <c r="D177" s="17">
        <v>73.94</v>
      </c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42"/>
      <c r="B178" s="42"/>
      <c r="C178" s="17">
        <v>4.5</v>
      </c>
      <c r="D178" s="17">
        <v>86.82</v>
      </c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42"/>
      <c r="B179" s="42"/>
      <c r="C179" s="17">
        <v>5.0</v>
      </c>
      <c r="D179" s="17" t="s">
        <v>89</v>
      </c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42"/>
      <c r="B180" s="42"/>
      <c r="C180" s="17">
        <v>5.5</v>
      </c>
      <c r="D180" s="17" t="s">
        <v>89</v>
      </c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46"/>
      <c r="B181" s="46"/>
      <c r="C181" s="17">
        <v>6.0</v>
      </c>
      <c r="D181" s="17" t="s">
        <v>89</v>
      </c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56">
        <v>4.0</v>
      </c>
      <c r="B182" s="41">
        <v>6.0</v>
      </c>
      <c r="C182" s="17">
        <v>2.5</v>
      </c>
      <c r="D182" s="17" t="s">
        <v>89</v>
      </c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42"/>
      <c r="B183" s="42"/>
      <c r="C183" s="17">
        <v>3.0</v>
      </c>
      <c r="D183" s="17" t="s">
        <v>89</v>
      </c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42"/>
      <c r="B184" s="42"/>
      <c r="C184" s="17">
        <v>3.5</v>
      </c>
      <c r="D184" s="17" t="s">
        <v>89</v>
      </c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42"/>
      <c r="B185" s="42"/>
      <c r="C185" s="17">
        <v>4.0</v>
      </c>
      <c r="D185" s="17">
        <v>25.68</v>
      </c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42"/>
      <c r="B186" s="42"/>
      <c r="C186" s="17">
        <v>4.5</v>
      </c>
      <c r="D186" s="17">
        <v>27.32</v>
      </c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42"/>
      <c r="B187" s="42"/>
      <c r="C187" s="17">
        <v>5.0</v>
      </c>
      <c r="D187" s="17">
        <v>29.3</v>
      </c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42"/>
      <c r="B188" s="42"/>
      <c r="C188" s="17">
        <v>5.5</v>
      </c>
      <c r="D188" s="17">
        <v>29.97</v>
      </c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42"/>
      <c r="B189" s="46"/>
      <c r="C189" s="17">
        <v>6.0</v>
      </c>
      <c r="D189" s="34">
        <v>31.02</v>
      </c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42"/>
      <c r="B190" s="41">
        <v>7.0</v>
      </c>
      <c r="C190" s="17">
        <v>2.5</v>
      </c>
      <c r="D190" s="17" t="s">
        <v>89</v>
      </c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42"/>
      <c r="B191" s="42"/>
      <c r="C191" s="17">
        <v>3.0</v>
      </c>
      <c r="D191" s="17" t="s">
        <v>89</v>
      </c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42"/>
      <c r="B192" s="42"/>
      <c r="C192" s="17">
        <v>3.5</v>
      </c>
      <c r="D192" s="17">
        <v>25.98</v>
      </c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42"/>
      <c r="B193" s="42"/>
      <c r="C193" s="17">
        <v>4.0</v>
      </c>
      <c r="D193" s="17">
        <v>28.57</v>
      </c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42"/>
      <c r="B194" s="42"/>
      <c r="C194" s="17">
        <v>4.5</v>
      </c>
      <c r="D194" s="17">
        <v>30.73</v>
      </c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42"/>
      <c r="B195" s="42"/>
      <c r="C195" s="17">
        <v>5.0</v>
      </c>
      <c r="D195" s="17">
        <v>34.19</v>
      </c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42"/>
      <c r="B196" s="42"/>
      <c r="C196" s="17">
        <v>5.5</v>
      </c>
      <c r="D196" s="17">
        <v>35.36</v>
      </c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42"/>
      <c r="B197" s="46"/>
      <c r="C197" s="17">
        <v>6.0</v>
      </c>
      <c r="D197" s="17">
        <v>36.61</v>
      </c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42"/>
      <c r="B198" s="41">
        <v>8.0</v>
      </c>
      <c r="C198" s="17">
        <v>2.5</v>
      </c>
      <c r="D198" s="17" t="s">
        <v>89</v>
      </c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42"/>
      <c r="B199" s="42"/>
      <c r="C199" s="17">
        <v>3.0</v>
      </c>
      <c r="D199" s="17">
        <v>26.21</v>
      </c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42"/>
      <c r="B200" s="42"/>
      <c r="C200" s="17">
        <v>3.5</v>
      </c>
      <c r="D200" s="17">
        <v>28.5</v>
      </c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42"/>
      <c r="B201" s="42"/>
      <c r="C201" s="17">
        <v>4.0</v>
      </c>
      <c r="D201" s="17">
        <v>32.19</v>
      </c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42"/>
      <c r="B202" s="42"/>
      <c r="C202" s="17">
        <v>4.5</v>
      </c>
      <c r="D202" s="17">
        <v>35.47</v>
      </c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42"/>
      <c r="B203" s="42"/>
      <c r="C203" s="17">
        <v>5.0</v>
      </c>
      <c r="D203" s="17">
        <v>39.43</v>
      </c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42"/>
      <c r="B204" s="42"/>
      <c r="C204" s="17">
        <v>5.5</v>
      </c>
      <c r="D204" s="17">
        <v>40.55</v>
      </c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42"/>
      <c r="B205" s="46"/>
      <c r="C205" s="17">
        <v>6.0</v>
      </c>
      <c r="D205" s="17">
        <v>41.57</v>
      </c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42"/>
      <c r="B206" s="41">
        <v>9.0</v>
      </c>
      <c r="C206" s="17">
        <v>2.5</v>
      </c>
      <c r="D206" s="17">
        <v>25.0</v>
      </c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42"/>
      <c r="B207" s="42"/>
      <c r="C207" s="17">
        <v>3.0</v>
      </c>
      <c r="D207" s="17">
        <v>28.44</v>
      </c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42"/>
      <c r="B208" s="42"/>
      <c r="C208" s="17">
        <v>3.5</v>
      </c>
      <c r="D208" s="17">
        <v>31.53</v>
      </c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42"/>
      <c r="B209" s="42"/>
      <c r="C209" s="17">
        <v>4.0</v>
      </c>
      <c r="D209" s="17">
        <v>36.53</v>
      </c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42"/>
      <c r="B210" s="42"/>
      <c r="C210" s="17">
        <v>4.5</v>
      </c>
      <c r="D210" s="17">
        <v>40.16</v>
      </c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42"/>
      <c r="B211" s="42"/>
      <c r="C211" s="17">
        <v>5.0</v>
      </c>
      <c r="D211" s="17">
        <v>43.34</v>
      </c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42"/>
      <c r="B212" s="42"/>
      <c r="C212" s="17">
        <v>5.5</v>
      </c>
      <c r="D212" s="17">
        <v>44.42</v>
      </c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42"/>
      <c r="B213" s="46"/>
      <c r="C213" s="17">
        <v>6.0</v>
      </c>
      <c r="D213" s="17">
        <v>46.57</v>
      </c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42"/>
      <c r="B214" s="41">
        <v>10.0</v>
      </c>
      <c r="C214" s="17">
        <v>2.5</v>
      </c>
      <c r="D214" s="17">
        <v>26.84</v>
      </c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42"/>
      <c r="B215" s="42"/>
      <c r="C215" s="17">
        <v>3.0</v>
      </c>
      <c r="D215" s="17">
        <v>31.01</v>
      </c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42"/>
      <c r="B216" s="42"/>
      <c r="C216" s="17">
        <v>3.5</v>
      </c>
      <c r="D216" s="17">
        <v>35.31</v>
      </c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42"/>
      <c r="B217" s="42"/>
      <c r="C217" s="17">
        <v>4.0</v>
      </c>
      <c r="D217" s="17">
        <v>40.62</v>
      </c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42"/>
      <c r="B218" s="42"/>
      <c r="C218" s="17">
        <v>4.5</v>
      </c>
      <c r="D218" s="17">
        <v>44.37</v>
      </c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42"/>
      <c r="B219" s="42"/>
      <c r="C219" s="17">
        <v>5.0</v>
      </c>
      <c r="D219" s="17">
        <v>50.35</v>
      </c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42"/>
      <c r="B220" s="42"/>
      <c r="C220" s="17">
        <v>5.5</v>
      </c>
      <c r="D220" s="17">
        <v>51.74</v>
      </c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42"/>
      <c r="B221" s="46"/>
      <c r="C221" s="17">
        <v>6.0</v>
      </c>
      <c r="D221" s="17">
        <v>53.23</v>
      </c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42"/>
      <c r="B222" s="41">
        <v>11.0</v>
      </c>
      <c r="C222" s="17">
        <v>2.5</v>
      </c>
      <c r="D222" s="17">
        <v>28.69</v>
      </c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42"/>
      <c r="B223" s="42"/>
      <c r="C223" s="17">
        <v>3.0</v>
      </c>
      <c r="D223" s="17">
        <v>34.36</v>
      </c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42"/>
      <c r="B224" s="42"/>
      <c r="C224" s="17">
        <v>3.5</v>
      </c>
      <c r="D224" s="17">
        <v>39.09</v>
      </c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42"/>
      <c r="B225" s="42"/>
      <c r="C225" s="17">
        <v>4.0</v>
      </c>
      <c r="D225" s="17">
        <v>43.72</v>
      </c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42"/>
      <c r="B226" s="42"/>
      <c r="C226" s="17">
        <v>4.5</v>
      </c>
      <c r="D226" s="17">
        <v>50.18</v>
      </c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42"/>
      <c r="B227" s="42"/>
      <c r="C227" s="17">
        <v>5.0</v>
      </c>
      <c r="D227" s="17">
        <v>54.72</v>
      </c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42"/>
      <c r="B228" s="42"/>
      <c r="C228" s="17">
        <v>5.5</v>
      </c>
      <c r="D228" s="17">
        <v>56.25</v>
      </c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42"/>
      <c r="B229" s="46"/>
      <c r="C229" s="17">
        <v>6.0</v>
      </c>
      <c r="D229" s="17">
        <v>57.89</v>
      </c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42"/>
      <c r="B230" s="41">
        <v>12.0</v>
      </c>
      <c r="C230" s="17">
        <v>2.5</v>
      </c>
      <c r="D230" s="17">
        <v>30.81</v>
      </c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42"/>
      <c r="B231" s="42"/>
      <c r="C231" s="17">
        <v>3.0</v>
      </c>
      <c r="D231" s="17">
        <v>37.72</v>
      </c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42"/>
      <c r="B232" s="42"/>
      <c r="C232" s="17">
        <v>3.5</v>
      </c>
      <c r="D232" s="17">
        <v>42.05</v>
      </c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42"/>
      <c r="B233" s="42"/>
      <c r="C233" s="17">
        <v>4.0</v>
      </c>
      <c r="D233" s="17">
        <v>50.03</v>
      </c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42"/>
      <c r="B234" s="42"/>
      <c r="C234" s="17">
        <v>4.5</v>
      </c>
      <c r="D234" s="17">
        <v>54.13</v>
      </c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42"/>
      <c r="B235" s="42"/>
      <c r="C235" s="17">
        <v>5.0</v>
      </c>
      <c r="D235" s="17">
        <v>59.08</v>
      </c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42"/>
      <c r="B236" s="42"/>
      <c r="C236" s="17">
        <v>5.5</v>
      </c>
      <c r="D236" s="17">
        <v>61.51</v>
      </c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46"/>
      <c r="B237" s="46"/>
      <c r="C237" s="18">
        <v>6.0</v>
      </c>
      <c r="D237" s="18">
        <v>65.03</v>
      </c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25">
    <mergeCell ref="A5:I5"/>
    <mergeCell ref="A70:A125"/>
    <mergeCell ref="B70:B77"/>
    <mergeCell ref="B78:B85"/>
    <mergeCell ref="B86:B93"/>
    <mergeCell ref="B94:B101"/>
    <mergeCell ref="B102:B109"/>
    <mergeCell ref="B158:B165"/>
    <mergeCell ref="B166:B173"/>
    <mergeCell ref="A126:A181"/>
    <mergeCell ref="A182:A237"/>
    <mergeCell ref="B182:B189"/>
    <mergeCell ref="B190:B197"/>
    <mergeCell ref="B198:B205"/>
    <mergeCell ref="B206:B213"/>
    <mergeCell ref="B214:B221"/>
    <mergeCell ref="B222:B229"/>
    <mergeCell ref="B230:B237"/>
    <mergeCell ref="B110:B117"/>
    <mergeCell ref="B118:B125"/>
    <mergeCell ref="B126:B133"/>
    <mergeCell ref="B134:B141"/>
    <mergeCell ref="B142:B149"/>
    <mergeCell ref="B150:B157"/>
    <mergeCell ref="B174:B181"/>
  </mergeCells>
  <hyperlinks>
    <hyperlink r:id="rId1" ref="H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2.38"/>
    <col customWidth="1" min="4" max="4" width="14.25"/>
    <col customWidth="1" min="5" max="5" width="13.38"/>
    <col customWidth="1" min="6" max="6" width="14.0"/>
    <col customWidth="1" min="7" max="7" width="11.0"/>
  </cols>
  <sheetData>
    <row r="1">
      <c r="A1" s="47" t="s">
        <v>83</v>
      </c>
      <c r="B1" s="17" t="s">
        <v>84</v>
      </c>
      <c r="C1" s="16"/>
      <c r="D1" s="47" t="s">
        <v>85</v>
      </c>
      <c r="E1" s="17" t="s">
        <v>86</v>
      </c>
      <c r="F1" s="16"/>
      <c r="G1" s="47" t="s">
        <v>87</v>
      </c>
      <c r="H1" s="17" t="s">
        <v>114</v>
      </c>
      <c r="I1" s="16"/>
      <c r="J1" s="47" t="s">
        <v>90</v>
      </c>
      <c r="K1" s="17" t="s">
        <v>91</v>
      </c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47" t="s">
        <v>92</v>
      </c>
      <c r="B2" s="17" t="s">
        <v>93</v>
      </c>
      <c r="C2" s="16"/>
      <c r="D2" s="47" t="s">
        <v>94</v>
      </c>
      <c r="E2" s="17">
        <v>0.0111</v>
      </c>
      <c r="F2" s="16"/>
      <c r="G2" s="57"/>
      <c r="H2" s="21"/>
      <c r="I2" s="16"/>
      <c r="J2" s="47"/>
      <c r="K2" s="21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47" t="s">
        <v>97</v>
      </c>
      <c r="B3" s="17" t="s">
        <v>98</v>
      </c>
      <c r="C3" s="16"/>
      <c r="D3" s="47" t="s">
        <v>99</v>
      </c>
      <c r="E3" s="17">
        <v>66.0</v>
      </c>
      <c r="F3" s="16"/>
      <c r="G3" s="50"/>
      <c r="H3" s="21"/>
      <c r="I3" s="16"/>
      <c r="J3" s="50"/>
      <c r="K3" s="21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51" t="s">
        <v>115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52" t="s">
        <v>101</v>
      </c>
      <c r="B6" s="52" t="s">
        <v>102</v>
      </c>
      <c r="C6" s="52" t="s">
        <v>103</v>
      </c>
      <c r="D6" s="52" t="s">
        <v>104</v>
      </c>
      <c r="E6" s="52" t="s">
        <v>105</v>
      </c>
      <c r="F6" s="52" t="s">
        <v>106</v>
      </c>
      <c r="G6" s="52" t="s">
        <v>107</v>
      </c>
      <c r="H6" s="52" t="s">
        <v>108</v>
      </c>
      <c r="I6" s="53" t="s">
        <v>109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7">
        <v>1.0</v>
      </c>
      <c r="B7" s="17">
        <v>5.0</v>
      </c>
      <c r="C7" s="17">
        <v>2.5</v>
      </c>
      <c r="D7" s="17">
        <v>30.0</v>
      </c>
      <c r="E7" s="17">
        <v>0.0</v>
      </c>
      <c r="F7" s="21">
        <f t="shared" ref="F7:F66" si="1">(E7/1000)/(D7/60)</f>
        <v>0</v>
      </c>
      <c r="G7" s="17">
        <v>5.0</v>
      </c>
      <c r="H7" s="21">
        <f t="shared" ref="H7:H66" si="2">F7*G7</f>
        <v>0</v>
      </c>
      <c r="I7" s="21">
        <f t="shared" ref="I7:I66" si="3">IF(E7=0,0,(72/100)*B7)</f>
        <v>0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7">
        <v>2.0</v>
      </c>
      <c r="B8" s="17">
        <v>10.0</v>
      </c>
      <c r="C8" s="17">
        <v>2.5</v>
      </c>
      <c r="D8" s="17">
        <v>30.0</v>
      </c>
      <c r="E8" s="17">
        <v>0.0</v>
      </c>
      <c r="F8" s="21">
        <f t="shared" si="1"/>
        <v>0</v>
      </c>
      <c r="G8" s="17">
        <v>5.0</v>
      </c>
      <c r="H8" s="21">
        <f t="shared" si="2"/>
        <v>0</v>
      </c>
      <c r="I8" s="21">
        <f t="shared" si="3"/>
        <v>0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7">
        <v>3.0</v>
      </c>
      <c r="B9" s="17">
        <v>15.0</v>
      </c>
      <c r="C9" s="17">
        <v>2.5</v>
      </c>
      <c r="D9" s="17">
        <v>30.0</v>
      </c>
      <c r="E9" s="17">
        <v>0.0</v>
      </c>
      <c r="F9" s="21">
        <f t="shared" si="1"/>
        <v>0</v>
      </c>
      <c r="G9" s="17">
        <v>5.0</v>
      </c>
      <c r="H9" s="21">
        <f t="shared" si="2"/>
        <v>0</v>
      </c>
      <c r="I9" s="21">
        <f t="shared" si="3"/>
        <v>0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7">
        <v>4.0</v>
      </c>
      <c r="B10" s="17">
        <v>20.0</v>
      </c>
      <c r="C10" s="17">
        <v>2.5</v>
      </c>
      <c r="D10" s="17">
        <v>30.0</v>
      </c>
      <c r="E10" s="17">
        <v>0.0</v>
      </c>
      <c r="F10" s="21">
        <f t="shared" si="1"/>
        <v>0</v>
      </c>
      <c r="G10" s="17">
        <v>5.0</v>
      </c>
      <c r="H10" s="21">
        <f t="shared" si="2"/>
        <v>0</v>
      </c>
      <c r="I10" s="21">
        <f t="shared" si="3"/>
        <v>0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7">
        <v>5.0</v>
      </c>
      <c r="B11" s="17">
        <v>25.0</v>
      </c>
      <c r="C11" s="17">
        <v>2.5</v>
      </c>
      <c r="D11" s="17">
        <v>30.0</v>
      </c>
      <c r="E11" s="17">
        <v>18.0</v>
      </c>
      <c r="F11" s="21">
        <f t="shared" si="1"/>
        <v>0.036</v>
      </c>
      <c r="G11" s="17">
        <v>5.0</v>
      </c>
      <c r="H11" s="21">
        <f t="shared" si="2"/>
        <v>0.18</v>
      </c>
      <c r="I11" s="21">
        <f t="shared" si="3"/>
        <v>18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7">
        <v>6.0</v>
      </c>
      <c r="B12" s="17">
        <v>30.0</v>
      </c>
      <c r="C12" s="17">
        <v>2.5</v>
      </c>
      <c r="D12" s="17">
        <v>30.0</v>
      </c>
      <c r="E12" s="17">
        <v>23.0</v>
      </c>
      <c r="F12" s="21">
        <f t="shared" si="1"/>
        <v>0.046</v>
      </c>
      <c r="G12" s="17">
        <v>5.0</v>
      </c>
      <c r="H12" s="21">
        <f t="shared" si="2"/>
        <v>0.23</v>
      </c>
      <c r="I12" s="21">
        <f t="shared" si="3"/>
        <v>21.6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7">
        <v>7.0</v>
      </c>
      <c r="B13" s="17">
        <v>35.0</v>
      </c>
      <c r="C13" s="17">
        <v>2.5</v>
      </c>
      <c r="D13" s="17">
        <v>30.0</v>
      </c>
      <c r="E13" s="17">
        <v>28.0</v>
      </c>
      <c r="F13" s="21">
        <f t="shared" si="1"/>
        <v>0.056</v>
      </c>
      <c r="G13" s="17">
        <v>5.0</v>
      </c>
      <c r="H13" s="21">
        <f t="shared" si="2"/>
        <v>0.28</v>
      </c>
      <c r="I13" s="21">
        <f t="shared" si="3"/>
        <v>25.2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7">
        <v>8.0</v>
      </c>
      <c r="B14" s="17">
        <v>40.0</v>
      </c>
      <c r="C14" s="17">
        <v>2.5</v>
      </c>
      <c r="D14" s="17">
        <v>30.0</v>
      </c>
      <c r="E14" s="17">
        <v>32.0</v>
      </c>
      <c r="F14" s="21">
        <f t="shared" si="1"/>
        <v>0.064</v>
      </c>
      <c r="G14" s="17">
        <v>5.0</v>
      </c>
      <c r="H14" s="21">
        <f t="shared" si="2"/>
        <v>0.32</v>
      </c>
      <c r="I14" s="21">
        <f t="shared" si="3"/>
        <v>28.8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7">
        <v>9.0</v>
      </c>
      <c r="B15" s="17">
        <v>45.0</v>
      </c>
      <c r="C15" s="17">
        <v>2.5</v>
      </c>
      <c r="D15" s="17">
        <v>30.0</v>
      </c>
      <c r="E15" s="17">
        <v>36.0</v>
      </c>
      <c r="F15" s="21">
        <f t="shared" si="1"/>
        <v>0.072</v>
      </c>
      <c r="G15" s="17">
        <v>5.0</v>
      </c>
      <c r="H15" s="21">
        <f t="shared" si="2"/>
        <v>0.36</v>
      </c>
      <c r="I15" s="21">
        <f t="shared" si="3"/>
        <v>32.4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7">
        <v>10.0</v>
      </c>
      <c r="B16" s="17">
        <v>50.0</v>
      </c>
      <c r="C16" s="17">
        <v>2.5</v>
      </c>
      <c r="D16" s="17">
        <v>30.0</v>
      </c>
      <c r="E16" s="17">
        <v>37.0</v>
      </c>
      <c r="F16" s="21">
        <f t="shared" si="1"/>
        <v>0.074</v>
      </c>
      <c r="G16" s="17">
        <v>5.0</v>
      </c>
      <c r="H16" s="21">
        <f t="shared" si="2"/>
        <v>0.37</v>
      </c>
      <c r="I16" s="21">
        <f t="shared" si="3"/>
        <v>36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7">
        <v>11.0</v>
      </c>
      <c r="B17" s="17">
        <v>55.0</v>
      </c>
      <c r="C17" s="17">
        <v>2.5</v>
      </c>
      <c r="D17" s="17">
        <v>30.0</v>
      </c>
      <c r="E17" s="17">
        <v>41.0</v>
      </c>
      <c r="F17" s="21">
        <f t="shared" si="1"/>
        <v>0.082</v>
      </c>
      <c r="G17" s="17">
        <v>5.0</v>
      </c>
      <c r="H17" s="21">
        <f t="shared" si="2"/>
        <v>0.41</v>
      </c>
      <c r="I17" s="21">
        <f t="shared" si="3"/>
        <v>39.6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7">
        <v>12.0</v>
      </c>
      <c r="B18" s="17">
        <v>60.0</v>
      </c>
      <c r="C18" s="17">
        <v>2.5</v>
      </c>
      <c r="D18" s="17">
        <v>30.0</v>
      </c>
      <c r="E18" s="17">
        <v>42.0</v>
      </c>
      <c r="F18" s="21">
        <f t="shared" si="1"/>
        <v>0.084</v>
      </c>
      <c r="G18" s="17">
        <v>5.0</v>
      </c>
      <c r="H18" s="21">
        <f t="shared" si="2"/>
        <v>0.42</v>
      </c>
      <c r="I18" s="21">
        <f t="shared" si="3"/>
        <v>43.2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7">
        <v>13.0</v>
      </c>
      <c r="B19" s="17">
        <v>65.0</v>
      </c>
      <c r="C19" s="17">
        <v>2.5</v>
      </c>
      <c r="D19" s="17">
        <v>30.0</v>
      </c>
      <c r="E19" s="17">
        <v>45.0</v>
      </c>
      <c r="F19" s="21">
        <f t="shared" si="1"/>
        <v>0.09</v>
      </c>
      <c r="G19" s="17">
        <v>5.0</v>
      </c>
      <c r="H19" s="21">
        <f t="shared" si="2"/>
        <v>0.45</v>
      </c>
      <c r="I19" s="21">
        <f t="shared" si="3"/>
        <v>46.8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7">
        <v>14.0</v>
      </c>
      <c r="B20" s="17">
        <v>70.0</v>
      </c>
      <c r="C20" s="17">
        <v>2.5</v>
      </c>
      <c r="D20" s="17">
        <v>30.0</v>
      </c>
      <c r="E20" s="17">
        <v>46.0</v>
      </c>
      <c r="F20" s="21">
        <f t="shared" si="1"/>
        <v>0.092</v>
      </c>
      <c r="G20" s="17">
        <v>5.0</v>
      </c>
      <c r="H20" s="21">
        <f t="shared" si="2"/>
        <v>0.46</v>
      </c>
      <c r="I20" s="21">
        <f t="shared" si="3"/>
        <v>50.4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7">
        <v>15.0</v>
      </c>
      <c r="B21" s="17">
        <v>75.0</v>
      </c>
      <c r="C21" s="17">
        <v>2.5</v>
      </c>
      <c r="D21" s="17">
        <v>30.0</v>
      </c>
      <c r="E21" s="17">
        <v>50.0</v>
      </c>
      <c r="F21" s="21">
        <f t="shared" si="1"/>
        <v>0.1</v>
      </c>
      <c r="G21" s="17">
        <v>5.0</v>
      </c>
      <c r="H21" s="21">
        <f t="shared" si="2"/>
        <v>0.5</v>
      </c>
      <c r="I21" s="21">
        <f t="shared" si="3"/>
        <v>54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7">
        <v>16.0</v>
      </c>
      <c r="B22" s="17">
        <v>80.0</v>
      </c>
      <c r="C22" s="17">
        <v>2.5</v>
      </c>
      <c r="D22" s="17">
        <v>30.0</v>
      </c>
      <c r="E22" s="17">
        <v>51.0</v>
      </c>
      <c r="F22" s="21">
        <f t="shared" si="1"/>
        <v>0.102</v>
      </c>
      <c r="G22" s="17">
        <v>5.0</v>
      </c>
      <c r="H22" s="21">
        <f t="shared" si="2"/>
        <v>0.51</v>
      </c>
      <c r="I22" s="21">
        <f t="shared" si="3"/>
        <v>57.6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7">
        <v>17.0</v>
      </c>
      <c r="B23" s="17">
        <v>85.0</v>
      </c>
      <c r="C23" s="17">
        <v>2.5</v>
      </c>
      <c r="D23" s="17">
        <v>30.0</v>
      </c>
      <c r="E23" s="17">
        <v>55.0</v>
      </c>
      <c r="F23" s="21">
        <f t="shared" si="1"/>
        <v>0.11</v>
      </c>
      <c r="G23" s="17">
        <v>5.0</v>
      </c>
      <c r="H23" s="21">
        <f t="shared" si="2"/>
        <v>0.55</v>
      </c>
      <c r="I23" s="21">
        <f t="shared" si="3"/>
        <v>61.2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7">
        <v>18.0</v>
      </c>
      <c r="B24" s="17">
        <v>90.0</v>
      </c>
      <c r="C24" s="17">
        <v>2.5</v>
      </c>
      <c r="D24" s="17">
        <v>30.0</v>
      </c>
      <c r="E24" s="17">
        <v>58.0</v>
      </c>
      <c r="F24" s="21">
        <f t="shared" si="1"/>
        <v>0.116</v>
      </c>
      <c r="G24" s="17">
        <v>5.0</v>
      </c>
      <c r="H24" s="21">
        <f t="shared" si="2"/>
        <v>0.58</v>
      </c>
      <c r="I24" s="21">
        <f t="shared" si="3"/>
        <v>64.8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7">
        <v>19.0</v>
      </c>
      <c r="B25" s="17">
        <v>95.0</v>
      </c>
      <c r="C25" s="17">
        <v>2.5</v>
      </c>
      <c r="D25" s="17">
        <v>30.0</v>
      </c>
      <c r="E25" s="17">
        <v>61.0</v>
      </c>
      <c r="F25" s="21">
        <f t="shared" si="1"/>
        <v>0.122</v>
      </c>
      <c r="G25" s="17">
        <v>5.0</v>
      </c>
      <c r="H25" s="21">
        <f t="shared" si="2"/>
        <v>0.61</v>
      </c>
      <c r="I25" s="21">
        <f t="shared" si="3"/>
        <v>68.4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7">
        <v>20.0</v>
      </c>
      <c r="B26" s="17">
        <v>100.0</v>
      </c>
      <c r="C26" s="17">
        <v>2.5</v>
      </c>
      <c r="D26" s="17">
        <v>30.0</v>
      </c>
      <c r="E26" s="17">
        <v>62.0</v>
      </c>
      <c r="F26" s="21">
        <f t="shared" si="1"/>
        <v>0.124</v>
      </c>
      <c r="G26" s="17">
        <v>5.0</v>
      </c>
      <c r="H26" s="21">
        <f t="shared" si="2"/>
        <v>0.62</v>
      </c>
      <c r="I26" s="21">
        <f t="shared" si="3"/>
        <v>72</v>
      </c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7">
        <v>21.0</v>
      </c>
      <c r="B27" s="17">
        <v>5.0</v>
      </c>
      <c r="C27" s="17">
        <v>3.25</v>
      </c>
      <c r="D27" s="17">
        <v>30.0</v>
      </c>
      <c r="E27" s="17">
        <v>0.0</v>
      </c>
      <c r="F27" s="21">
        <f t="shared" si="1"/>
        <v>0</v>
      </c>
      <c r="G27" s="17">
        <v>5.0</v>
      </c>
      <c r="H27" s="21">
        <f t="shared" si="2"/>
        <v>0</v>
      </c>
      <c r="I27" s="21">
        <f t="shared" si="3"/>
        <v>0</v>
      </c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7">
        <v>22.0</v>
      </c>
      <c r="B28" s="17">
        <v>10.0</v>
      </c>
      <c r="C28" s="17">
        <v>3.25</v>
      </c>
      <c r="D28" s="17">
        <v>30.0</v>
      </c>
      <c r="E28" s="17">
        <v>0.0</v>
      </c>
      <c r="F28" s="21">
        <f t="shared" si="1"/>
        <v>0</v>
      </c>
      <c r="G28" s="17">
        <v>5.0</v>
      </c>
      <c r="H28" s="21">
        <f t="shared" si="2"/>
        <v>0</v>
      </c>
      <c r="I28" s="21">
        <f t="shared" si="3"/>
        <v>0</v>
      </c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7">
        <v>23.0</v>
      </c>
      <c r="B29" s="17">
        <v>15.0</v>
      </c>
      <c r="C29" s="17">
        <v>3.25</v>
      </c>
      <c r="D29" s="17">
        <v>30.0</v>
      </c>
      <c r="E29" s="17">
        <v>0.0</v>
      </c>
      <c r="F29" s="21">
        <f t="shared" si="1"/>
        <v>0</v>
      </c>
      <c r="G29" s="17">
        <v>5.0</v>
      </c>
      <c r="H29" s="21">
        <f t="shared" si="2"/>
        <v>0</v>
      </c>
      <c r="I29" s="21">
        <f t="shared" si="3"/>
        <v>0</v>
      </c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7">
        <v>24.0</v>
      </c>
      <c r="B30" s="17">
        <v>20.0</v>
      </c>
      <c r="C30" s="17">
        <v>3.25</v>
      </c>
      <c r="D30" s="17">
        <v>30.0</v>
      </c>
      <c r="E30" s="17">
        <v>0.0</v>
      </c>
      <c r="F30" s="21">
        <f t="shared" si="1"/>
        <v>0</v>
      </c>
      <c r="G30" s="17">
        <v>5.0</v>
      </c>
      <c r="H30" s="21">
        <f t="shared" si="2"/>
        <v>0</v>
      </c>
      <c r="I30" s="21">
        <f t="shared" si="3"/>
        <v>0</v>
      </c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7">
        <v>25.0</v>
      </c>
      <c r="B31" s="17">
        <v>25.0</v>
      </c>
      <c r="C31" s="17">
        <v>3.25</v>
      </c>
      <c r="D31" s="17">
        <v>30.0</v>
      </c>
      <c r="E31" s="17">
        <v>35.0</v>
      </c>
      <c r="F31" s="21">
        <f t="shared" si="1"/>
        <v>0.07</v>
      </c>
      <c r="G31" s="17">
        <v>5.0</v>
      </c>
      <c r="H31" s="21">
        <f t="shared" si="2"/>
        <v>0.35</v>
      </c>
      <c r="I31" s="21">
        <f t="shared" si="3"/>
        <v>18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7">
        <v>26.0</v>
      </c>
      <c r="B32" s="17">
        <v>30.0</v>
      </c>
      <c r="C32" s="17">
        <v>3.25</v>
      </c>
      <c r="D32" s="17">
        <v>30.0</v>
      </c>
      <c r="E32" s="17">
        <v>43.0</v>
      </c>
      <c r="F32" s="21">
        <f t="shared" si="1"/>
        <v>0.086</v>
      </c>
      <c r="G32" s="17">
        <v>5.0</v>
      </c>
      <c r="H32" s="21">
        <f t="shared" si="2"/>
        <v>0.43</v>
      </c>
      <c r="I32" s="21">
        <f t="shared" si="3"/>
        <v>21.6</v>
      </c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7">
        <v>27.0</v>
      </c>
      <c r="B33" s="17">
        <v>35.0</v>
      </c>
      <c r="C33" s="17">
        <v>3.25</v>
      </c>
      <c r="D33" s="17">
        <v>30.0</v>
      </c>
      <c r="E33" s="17">
        <v>53.0</v>
      </c>
      <c r="F33" s="21">
        <f t="shared" si="1"/>
        <v>0.106</v>
      </c>
      <c r="G33" s="17">
        <v>5.0</v>
      </c>
      <c r="H33" s="21">
        <f t="shared" si="2"/>
        <v>0.53</v>
      </c>
      <c r="I33" s="21">
        <f t="shared" si="3"/>
        <v>25.2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7">
        <v>28.0</v>
      </c>
      <c r="B34" s="17">
        <v>40.0</v>
      </c>
      <c r="C34" s="17">
        <v>3.25</v>
      </c>
      <c r="D34" s="17">
        <v>30.0</v>
      </c>
      <c r="E34" s="17">
        <v>60.0</v>
      </c>
      <c r="F34" s="21">
        <f t="shared" si="1"/>
        <v>0.12</v>
      </c>
      <c r="G34" s="17">
        <v>5.0</v>
      </c>
      <c r="H34" s="21">
        <f t="shared" si="2"/>
        <v>0.6</v>
      </c>
      <c r="I34" s="21">
        <f t="shared" si="3"/>
        <v>28.8</v>
      </c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7">
        <v>29.0</v>
      </c>
      <c r="B35" s="17">
        <v>45.0</v>
      </c>
      <c r="C35" s="17">
        <v>3.25</v>
      </c>
      <c r="D35" s="17">
        <v>30.0</v>
      </c>
      <c r="E35" s="17">
        <v>66.0</v>
      </c>
      <c r="F35" s="21">
        <f t="shared" si="1"/>
        <v>0.132</v>
      </c>
      <c r="G35" s="17">
        <v>5.0</v>
      </c>
      <c r="H35" s="21">
        <f t="shared" si="2"/>
        <v>0.66</v>
      </c>
      <c r="I35" s="21">
        <f t="shared" si="3"/>
        <v>32.4</v>
      </c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7">
        <v>30.0</v>
      </c>
      <c r="B36" s="17">
        <v>50.0</v>
      </c>
      <c r="C36" s="17">
        <v>3.25</v>
      </c>
      <c r="D36" s="17">
        <v>30.0</v>
      </c>
      <c r="E36" s="17">
        <v>70.0</v>
      </c>
      <c r="F36" s="21">
        <f t="shared" si="1"/>
        <v>0.14</v>
      </c>
      <c r="G36" s="17">
        <v>5.0</v>
      </c>
      <c r="H36" s="21">
        <f t="shared" si="2"/>
        <v>0.7</v>
      </c>
      <c r="I36" s="21">
        <f t="shared" si="3"/>
        <v>36</v>
      </c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7">
        <v>31.0</v>
      </c>
      <c r="B37" s="17">
        <v>55.0</v>
      </c>
      <c r="C37" s="17">
        <v>3.25</v>
      </c>
      <c r="D37" s="17">
        <v>30.0</v>
      </c>
      <c r="E37" s="17">
        <v>76.0</v>
      </c>
      <c r="F37" s="21">
        <f t="shared" si="1"/>
        <v>0.152</v>
      </c>
      <c r="G37" s="17">
        <v>5.0</v>
      </c>
      <c r="H37" s="21">
        <f t="shared" si="2"/>
        <v>0.76</v>
      </c>
      <c r="I37" s="21">
        <f t="shared" si="3"/>
        <v>39.6</v>
      </c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7">
        <v>32.0</v>
      </c>
      <c r="B38" s="17">
        <v>60.0</v>
      </c>
      <c r="C38" s="17">
        <v>3.25</v>
      </c>
      <c r="D38" s="17">
        <v>30.0</v>
      </c>
      <c r="E38" s="17">
        <v>87.0</v>
      </c>
      <c r="F38" s="21">
        <f t="shared" si="1"/>
        <v>0.174</v>
      </c>
      <c r="G38" s="17">
        <v>5.0</v>
      </c>
      <c r="H38" s="21">
        <f t="shared" si="2"/>
        <v>0.87</v>
      </c>
      <c r="I38" s="21">
        <f t="shared" si="3"/>
        <v>43.2</v>
      </c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7">
        <v>33.0</v>
      </c>
      <c r="B39" s="17">
        <v>65.0</v>
      </c>
      <c r="C39" s="17">
        <v>3.25</v>
      </c>
      <c r="D39" s="17">
        <v>30.0</v>
      </c>
      <c r="E39" s="17">
        <v>90.0</v>
      </c>
      <c r="F39" s="21">
        <f t="shared" si="1"/>
        <v>0.18</v>
      </c>
      <c r="G39" s="17">
        <v>5.0</v>
      </c>
      <c r="H39" s="21">
        <f t="shared" si="2"/>
        <v>0.9</v>
      </c>
      <c r="I39" s="21">
        <f t="shared" si="3"/>
        <v>46.8</v>
      </c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7">
        <v>34.0</v>
      </c>
      <c r="B40" s="17">
        <v>70.0</v>
      </c>
      <c r="C40" s="17">
        <v>3.25</v>
      </c>
      <c r="D40" s="17">
        <v>30.0</v>
      </c>
      <c r="E40" s="17">
        <v>97.0</v>
      </c>
      <c r="F40" s="21">
        <f t="shared" si="1"/>
        <v>0.194</v>
      </c>
      <c r="G40" s="17">
        <v>5.0</v>
      </c>
      <c r="H40" s="21">
        <f t="shared" si="2"/>
        <v>0.97</v>
      </c>
      <c r="I40" s="21">
        <f t="shared" si="3"/>
        <v>50.4</v>
      </c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7">
        <v>35.0</v>
      </c>
      <c r="B41" s="17">
        <v>75.0</v>
      </c>
      <c r="C41" s="17">
        <v>3.25</v>
      </c>
      <c r="D41" s="17">
        <v>30.0</v>
      </c>
      <c r="E41" s="17">
        <v>106.0</v>
      </c>
      <c r="F41" s="21">
        <f t="shared" si="1"/>
        <v>0.212</v>
      </c>
      <c r="G41" s="17">
        <v>5.0</v>
      </c>
      <c r="H41" s="21">
        <f t="shared" si="2"/>
        <v>1.06</v>
      </c>
      <c r="I41" s="21">
        <f t="shared" si="3"/>
        <v>54</v>
      </c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7">
        <v>36.0</v>
      </c>
      <c r="B42" s="17">
        <v>80.0</v>
      </c>
      <c r="C42" s="17">
        <v>3.25</v>
      </c>
      <c r="D42" s="17">
        <v>30.0</v>
      </c>
      <c r="E42" s="17">
        <v>108.0</v>
      </c>
      <c r="F42" s="21">
        <f t="shared" si="1"/>
        <v>0.216</v>
      </c>
      <c r="G42" s="17">
        <v>5.0</v>
      </c>
      <c r="H42" s="21">
        <f t="shared" si="2"/>
        <v>1.08</v>
      </c>
      <c r="I42" s="21">
        <f t="shared" si="3"/>
        <v>57.6</v>
      </c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7">
        <v>37.0</v>
      </c>
      <c r="B43" s="17">
        <v>85.0</v>
      </c>
      <c r="C43" s="17">
        <v>3.25</v>
      </c>
      <c r="D43" s="17">
        <v>30.0</v>
      </c>
      <c r="E43" s="17">
        <v>111.0</v>
      </c>
      <c r="F43" s="21">
        <f t="shared" si="1"/>
        <v>0.222</v>
      </c>
      <c r="G43" s="17">
        <v>5.0</v>
      </c>
      <c r="H43" s="21">
        <f t="shared" si="2"/>
        <v>1.11</v>
      </c>
      <c r="I43" s="21">
        <f t="shared" si="3"/>
        <v>61.2</v>
      </c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7">
        <v>38.0</v>
      </c>
      <c r="B44" s="17">
        <v>90.0</v>
      </c>
      <c r="C44" s="17">
        <v>3.25</v>
      </c>
      <c r="D44" s="17">
        <v>30.0</v>
      </c>
      <c r="E44" s="17">
        <v>119.0</v>
      </c>
      <c r="F44" s="21">
        <f t="shared" si="1"/>
        <v>0.238</v>
      </c>
      <c r="G44" s="17">
        <v>5.0</v>
      </c>
      <c r="H44" s="21">
        <f t="shared" si="2"/>
        <v>1.19</v>
      </c>
      <c r="I44" s="21">
        <f t="shared" si="3"/>
        <v>64.8</v>
      </c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7">
        <v>39.0</v>
      </c>
      <c r="B45" s="17">
        <v>95.0</v>
      </c>
      <c r="C45" s="17">
        <v>3.25</v>
      </c>
      <c r="D45" s="17">
        <v>30.0</v>
      </c>
      <c r="E45" s="17">
        <v>121.0</v>
      </c>
      <c r="F45" s="21">
        <f t="shared" si="1"/>
        <v>0.242</v>
      </c>
      <c r="G45" s="17">
        <v>5.0</v>
      </c>
      <c r="H45" s="21">
        <f t="shared" si="2"/>
        <v>1.21</v>
      </c>
      <c r="I45" s="21">
        <f t="shared" si="3"/>
        <v>68.4</v>
      </c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7">
        <v>40.0</v>
      </c>
      <c r="B46" s="17">
        <v>100.0</v>
      </c>
      <c r="C46" s="17">
        <v>3.25</v>
      </c>
      <c r="D46" s="17">
        <v>30.0</v>
      </c>
      <c r="E46" s="17">
        <v>123.0</v>
      </c>
      <c r="F46" s="21">
        <f t="shared" si="1"/>
        <v>0.246</v>
      </c>
      <c r="G46" s="17">
        <v>5.0</v>
      </c>
      <c r="H46" s="21">
        <f t="shared" si="2"/>
        <v>1.23</v>
      </c>
      <c r="I46" s="21">
        <f t="shared" si="3"/>
        <v>72</v>
      </c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7">
        <v>41.0</v>
      </c>
      <c r="B47" s="17">
        <v>5.0</v>
      </c>
      <c r="C47" s="17">
        <v>4.0</v>
      </c>
      <c r="D47" s="17">
        <v>30.0</v>
      </c>
      <c r="E47" s="17">
        <v>0.0</v>
      </c>
      <c r="F47" s="21">
        <f t="shared" si="1"/>
        <v>0</v>
      </c>
      <c r="G47" s="17">
        <v>5.0</v>
      </c>
      <c r="H47" s="21">
        <f t="shared" si="2"/>
        <v>0</v>
      </c>
      <c r="I47" s="21">
        <f t="shared" si="3"/>
        <v>0</v>
      </c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7">
        <v>42.0</v>
      </c>
      <c r="B48" s="17">
        <v>10.0</v>
      </c>
      <c r="C48" s="17">
        <v>4.0</v>
      </c>
      <c r="D48" s="17">
        <v>30.0</v>
      </c>
      <c r="E48" s="17">
        <v>0.0</v>
      </c>
      <c r="F48" s="21">
        <f t="shared" si="1"/>
        <v>0</v>
      </c>
      <c r="G48" s="17">
        <v>5.0</v>
      </c>
      <c r="H48" s="21">
        <f t="shared" si="2"/>
        <v>0</v>
      </c>
      <c r="I48" s="21">
        <f t="shared" si="3"/>
        <v>0</v>
      </c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7">
        <v>43.0</v>
      </c>
      <c r="B49" s="17">
        <v>15.0</v>
      </c>
      <c r="C49" s="17">
        <v>4.0</v>
      </c>
      <c r="D49" s="17">
        <v>30.0</v>
      </c>
      <c r="E49" s="17">
        <v>0.0</v>
      </c>
      <c r="F49" s="21">
        <f t="shared" si="1"/>
        <v>0</v>
      </c>
      <c r="G49" s="17">
        <v>5.0</v>
      </c>
      <c r="H49" s="21">
        <f t="shared" si="2"/>
        <v>0</v>
      </c>
      <c r="I49" s="21">
        <f t="shared" si="3"/>
        <v>0</v>
      </c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7">
        <v>44.0</v>
      </c>
      <c r="B50" s="17">
        <v>20.0</v>
      </c>
      <c r="C50" s="17">
        <v>4.0</v>
      </c>
      <c r="D50" s="17">
        <v>30.0</v>
      </c>
      <c r="E50" s="17">
        <v>0.0</v>
      </c>
      <c r="F50" s="21">
        <f t="shared" si="1"/>
        <v>0</v>
      </c>
      <c r="G50" s="17">
        <v>5.0</v>
      </c>
      <c r="H50" s="21">
        <f t="shared" si="2"/>
        <v>0</v>
      </c>
      <c r="I50" s="21">
        <f t="shared" si="3"/>
        <v>0</v>
      </c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7">
        <v>45.0</v>
      </c>
      <c r="B51" s="17">
        <v>25.0</v>
      </c>
      <c r="C51" s="17">
        <v>4.0</v>
      </c>
      <c r="D51" s="17">
        <v>30.0</v>
      </c>
      <c r="E51" s="17">
        <v>50.0</v>
      </c>
      <c r="F51" s="21">
        <f t="shared" si="1"/>
        <v>0.1</v>
      </c>
      <c r="G51" s="17">
        <v>5.0</v>
      </c>
      <c r="H51" s="21">
        <f t="shared" si="2"/>
        <v>0.5</v>
      </c>
      <c r="I51" s="21">
        <f t="shared" si="3"/>
        <v>18</v>
      </c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7">
        <v>46.0</v>
      </c>
      <c r="B52" s="17">
        <v>30.0</v>
      </c>
      <c r="C52" s="17">
        <v>4.0</v>
      </c>
      <c r="D52" s="17">
        <v>30.0</v>
      </c>
      <c r="E52" s="17">
        <v>65.0</v>
      </c>
      <c r="F52" s="21">
        <f t="shared" si="1"/>
        <v>0.13</v>
      </c>
      <c r="G52" s="17">
        <v>5.0</v>
      </c>
      <c r="H52" s="21">
        <f t="shared" si="2"/>
        <v>0.65</v>
      </c>
      <c r="I52" s="21">
        <f t="shared" si="3"/>
        <v>21.6</v>
      </c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7">
        <v>47.0</v>
      </c>
      <c r="B53" s="17">
        <v>35.0</v>
      </c>
      <c r="C53" s="17">
        <v>4.0</v>
      </c>
      <c r="D53" s="17">
        <v>30.0</v>
      </c>
      <c r="E53" s="17">
        <v>75.0</v>
      </c>
      <c r="F53" s="21">
        <f t="shared" si="1"/>
        <v>0.15</v>
      </c>
      <c r="G53" s="17">
        <v>5.0</v>
      </c>
      <c r="H53" s="21">
        <f t="shared" si="2"/>
        <v>0.75</v>
      </c>
      <c r="I53" s="21">
        <f t="shared" si="3"/>
        <v>25.2</v>
      </c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7">
        <v>48.0</v>
      </c>
      <c r="B54" s="17">
        <v>40.0</v>
      </c>
      <c r="C54" s="17">
        <v>4.0</v>
      </c>
      <c r="D54" s="17">
        <v>30.0</v>
      </c>
      <c r="E54" s="17">
        <v>85.0</v>
      </c>
      <c r="F54" s="21">
        <f t="shared" si="1"/>
        <v>0.17</v>
      </c>
      <c r="G54" s="17">
        <v>5.0</v>
      </c>
      <c r="H54" s="21">
        <f t="shared" si="2"/>
        <v>0.85</v>
      </c>
      <c r="I54" s="21">
        <f t="shared" si="3"/>
        <v>28.8</v>
      </c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7">
        <v>49.0</v>
      </c>
      <c r="B55" s="17">
        <v>45.0</v>
      </c>
      <c r="C55" s="17">
        <v>4.0</v>
      </c>
      <c r="D55" s="17">
        <v>30.0</v>
      </c>
      <c r="E55" s="17">
        <v>99.0</v>
      </c>
      <c r="F55" s="21">
        <f t="shared" si="1"/>
        <v>0.198</v>
      </c>
      <c r="G55" s="17">
        <v>5.0</v>
      </c>
      <c r="H55" s="21">
        <f t="shared" si="2"/>
        <v>0.99</v>
      </c>
      <c r="I55" s="21">
        <f t="shared" si="3"/>
        <v>32.4</v>
      </c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7">
        <v>50.0</v>
      </c>
      <c r="B56" s="17">
        <v>50.0</v>
      </c>
      <c r="C56" s="17">
        <v>4.0</v>
      </c>
      <c r="D56" s="17">
        <v>30.0</v>
      </c>
      <c r="E56" s="17">
        <v>104.0</v>
      </c>
      <c r="F56" s="21">
        <f t="shared" si="1"/>
        <v>0.208</v>
      </c>
      <c r="G56" s="17">
        <v>5.0</v>
      </c>
      <c r="H56" s="21">
        <f t="shared" si="2"/>
        <v>1.04</v>
      </c>
      <c r="I56" s="21">
        <f t="shared" si="3"/>
        <v>36</v>
      </c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7">
        <v>51.0</v>
      </c>
      <c r="B57" s="17">
        <v>55.0</v>
      </c>
      <c r="C57" s="17">
        <v>4.0</v>
      </c>
      <c r="D57" s="17">
        <v>30.0</v>
      </c>
      <c r="E57" s="17">
        <v>116.0</v>
      </c>
      <c r="F57" s="21">
        <f t="shared" si="1"/>
        <v>0.232</v>
      </c>
      <c r="G57" s="17">
        <v>5.0</v>
      </c>
      <c r="H57" s="21">
        <f t="shared" si="2"/>
        <v>1.16</v>
      </c>
      <c r="I57" s="21">
        <f t="shared" si="3"/>
        <v>39.6</v>
      </c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7">
        <v>52.0</v>
      </c>
      <c r="B58" s="17">
        <v>60.0</v>
      </c>
      <c r="C58" s="17">
        <v>4.0</v>
      </c>
      <c r="D58" s="17">
        <v>30.0</v>
      </c>
      <c r="E58" s="17">
        <v>128.0</v>
      </c>
      <c r="F58" s="21">
        <f t="shared" si="1"/>
        <v>0.256</v>
      </c>
      <c r="G58" s="17">
        <v>5.0</v>
      </c>
      <c r="H58" s="21">
        <f t="shared" si="2"/>
        <v>1.28</v>
      </c>
      <c r="I58" s="21">
        <f t="shared" si="3"/>
        <v>43.2</v>
      </c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7">
        <v>53.0</v>
      </c>
      <c r="B59" s="17">
        <v>65.0</v>
      </c>
      <c r="C59" s="17">
        <v>4.0</v>
      </c>
      <c r="D59" s="17">
        <v>30.0</v>
      </c>
      <c r="E59" s="17">
        <v>134.0</v>
      </c>
      <c r="F59" s="21">
        <f t="shared" si="1"/>
        <v>0.268</v>
      </c>
      <c r="G59" s="17">
        <v>5.0</v>
      </c>
      <c r="H59" s="21">
        <f t="shared" si="2"/>
        <v>1.34</v>
      </c>
      <c r="I59" s="21">
        <f t="shared" si="3"/>
        <v>46.8</v>
      </c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7">
        <v>54.0</v>
      </c>
      <c r="B60" s="17">
        <v>70.0</v>
      </c>
      <c r="C60" s="17">
        <v>4.0</v>
      </c>
      <c r="D60" s="17">
        <v>30.0</v>
      </c>
      <c r="E60" s="17">
        <v>149.0</v>
      </c>
      <c r="F60" s="21">
        <f t="shared" si="1"/>
        <v>0.298</v>
      </c>
      <c r="G60" s="17">
        <v>5.0</v>
      </c>
      <c r="H60" s="21">
        <f t="shared" si="2"/>
        <v>1.49</v>
      </c>
      <c r="I60" s="21">
        <f t="shared" si="3"/>
        <v>50.4</v>
      </c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7">
        <v>55.0</v>
      </c>
      <c r="B61" s="17">
        <v>75.0</v>
      </c>
      <c r="C61" s="17">
        <v>4.0</v>
      </c>
      <c r="D61" s="17">
        <v>30.0</v>
      </c>
      <c r="E61" s="17">
        <v>154.0</v>
      </c>
      <c r="F61" s="21">
        <f t="shared" si="1"/>
        <v>0.308</v>
      </c>
      <c r="G61" s="17">
        <v>5.0</v>
      </c>
      <c r="H61" s="21">
        <f t="shared" si="2"/>
        <v>1.54</v>
      </c>
      <c r="I61" s="21">
        <f t="shared" si="3"/>
        <v>54</v>
      </c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7">
        <v>56.0</v>
      </c>
      <c r="B62" s="17">
        <v>80.0</v>
      </c>
      <c r="C62" s="17">
        <v>4.0</v>
      </c>
      <c r="D62" s="17">
        <v>30.0</v>
      </c>
      <c r="E62" s="17">
        <v>167.0</v>
      </c>
      <c r="F62" s="21">
        <f t="shared" si="1"/>
        <v>0.334</v>
      </c>
      <c r="G62" s="17">
        <v>5.0</v>
      </c>
      <c r="H62" s="21">
        <f t="shared" si="2"/>
        <v>1.67</v>
      </c>
      <c r="I62" s="21">
        <f t="shared" si="3"/>
        <v>57.6</v>
      </c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7">
        <v>57.0</v>
      </c>
      <c r="B63" s="17">
        <v>85.0</v>
      </c>
      <c r="C63" s="17">
        <v>4.0</v>
      </c>
      <c r="D63" s="17">
        <v>30.0</v>
      </c>
      <c r="E63" s="17">
        <v>177.0</v>
      </c>
      <c r="F63" s="21">
        <f t="shared" si="1"/>
        <v>0.354</v>
      </c>
      <c r="G63" s="17">
        <v>5.0</v>
      </c>
      <c r="H63" s="21">
        <f t="shared" si="2"/>
        <v>1.77</v>
      </c>
      <c r="I63" s="21">
        <f t="shared" si="3"/>
        <v>61.2</v>
      </c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7">
        <v>58.0</v>
      </c>
      <c r="B64" s="17">
        <v>90.0</v>
      </c>
      <c r="C64" s="17">
        <v>4.0</v>
      </c>
      <c r="D64" s="17">
        <v>30.0</v>
      </c>
      <c r="E64" s="17">
        <v>179.0</v>
      </c>
      <c r="F64" s="21">
        <f t="shared" si="1"/>
        <v>0.358</v>
      </c>
      <c r="G64" s="17">
        <v>5.0</v>
      </c>
      <c r="H64" s="21">
        <f t="shared" si="2"/>
        <v>1.79</v>
      </c>
      <c r="I64" s="21">
        <f t="shared" si="3"/>
        <v>64.8</v>
      </c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7">
        <v>59.0</v>
      </c>
      <c r="B65" s="17">
        <v>95.0</v>
      </c>
      <c r="C65" s="17">
        <v>4.0</v>
      </c>
      <c r="D65" s="17">
        <v>30.0</v>
      </c>
      <c r="E65" s="17">
        <v>186.0</v>
      </c>
      <c r="F65" s="21">
        <f t="shared" si="1"/>
        <v>0.372</v>
      </c>
      <c r="G65" s="17">
        <v>5.0</v>
      </c>
      <c r="H65" s="21">
        <f t="shared" si="2"/>
        <v>1.86</v>
      </c>
      <c r="I65" s="21">
        <f t="shared" si="3"/>
        <v>68.4</v>
      </c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7">
        <v>60.0</v>
      </c>
      <c r="B66" s="17">
        <v>100.0</v>
      </c>
      <c r="C66" s="17">
        <v>4.0</v>
      </c>
      <c r="D66" s="17">
        <v>30.0</v>
      </c>
      <c r="E66" s="17">
        <v>192.0</v>
      </c>
      <c r="F66" s="21">
        <f t="shared" si="1"/>
        <v>0.384</v>
      </c>
      <c r="G66" s="17">
        <v>5.0</v>
      </c>
      <c r="H66" s="21">
        <f t="shared" si="2"/>
        <v>1.92</v>
      </c>
      <c r="I66" s="21">
        <f t="shared" si="3"/>
        <v>72</v>
      </c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9" t="s">
        <v>110</v>
      </c>
      <c r="B69" s="19" t="s">
        <v>111</v>
      </c>
      <c r="C69" s="19" t="s">
        <v>112</v>
      </c>
      <c r="D69" s="19" t="s">
        <v>113</v>
      </c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54">
        <v>2.5</v>
      </c>
      <c r="B70" s="41">
        <v>6.0</v>
      </c>
      <c r="C70" s="18">
        <v>2.5</v>
      </c>
      <c r="D70" s="18">
        <v>41.63</v>
      </c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42"/>
      <c r="B71" s="42"/>
      <c r="C71" s="17">
        <v>3.0</v>
      </c>
      <c r="D71" s="17">
        <v>54.02</v>
      </c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42"/>
      <c r="B72" s="42"/>
      <c r="C72" s="17">
        <v>3.5</v>
      </c>
      <c r="D72" s="17">
        <v>66.86</v>
      </c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42"/>
      <c r="B73" s="42"/>
      <c r="C73" s="17">
        <v>4.0</v>
      </c>
      <c r="D73" s="17">
        <v>81.03</v>
      </c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42"/>
      <c r="B74" s="42"/>
      <c r="C74" s="17">
        <v>4.5</v>
      </c>
      <c r="D74" s="17">
        <v>90.29</v>
      </c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42"/>
      <c r="B75" s="42"/>
      <c r="C75" s="17">
        <v>5.0</v>
      </c>
      <c r="D75" s="17" t="s">
        <v>89</v>
      </c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42"/>
      <c r="B76" s="42"/>
      <c r="C76" s="17">
        <v>5.5</v>
      </c>
      <c r="D76" s="17" t="s">
        <v>89</v>
      </c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42"/>
      <c r="B77" s="46"/>
      <c r="C77" s="17">
        <v>6.0</v>
      </c>
      <c r="D77" s="34" t="s">
        <v>89</v>
      </c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42"/>
      <c r="B78" s="41">
        <v>7.0</v>
      </c>
      <c r="C78" s="17">
        <v>2.5</v>
      </c>
      <c r="D78" s="17">
        <v>52.32</v>
      </c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42"/>
      <c r="B79" s="42"/>
      <c r="C79" s="17">
        <v>3.0</v>
      </c>
      <c r="D79" s="17">
        <v>71.15</v>
      </c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42"/>
      <c r="B80" s="42"/>
      <c r="C80" s="17">
        <v>3.5</v>
      </c>
      <c r="D80" s="17">
        <v>82.42</v>
      </c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42"/>
      <c r="B81" s="42"/>
      <c r="C81" s="17">
        <v>4.0</v>
      </c>
      <c r="D81" s="17">
        <v>99.04</v>
      </c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42"/>
      <c r="B82" s="42"/>
      <c r="C82" s="17">
        <v>4.5</v>
      </c>
      <c r="D82" s="17" t="s">
        <v>89</v>
      </c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42"/>
      <c r="B83" s="42"/>
      <c r="C83" s="17">
        <v>5.0</v>
      </c>
      <c r="D83" s="17" t="s">
        <v>89</v>
      </c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42"/>
      <c r="B84" s="42"/>
      <c r="C84" s="17">
        <v>5.5</v>
      </c>
      <c r="D84" s="17" t="s">
        <v>89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42"/>
      <c r="B85" s="46"/>
      <c r="C85" s="17">
        <v>6.0</v>
      </c>
      <c r="D85" s="17" t="s">
        <v>89</v>
      </c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42"/>
      <c r="B86" s="41">
        <v>8.0</v>
      </c>
      <c r="C86" s="17">
        <v>2.5</v>
      </c>
      <c r="D86" s="17">
        <v>64.01</v>
      </c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42"/>
      <c r="B87" s="42"/>
      <c r="C87" s="17">
        <v>3.0</v>
      </c>
      <c r="D87" s="17">
        <v>83.28</v>
      </c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42"/>
      <c r="B88" s="42"/>
      <c r="C88" s="17">
        <v>3.5</v>
      </c>
      <c r="D88" s="17">
        <v>94.16</v>
      </c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42"/>
      <c r="B89" s="42"/>
      <c r="C89" s="17">
        <v>4.0</v>
      </c>
      <c r="D89" s="17" t="s">
        <v>89</v>
      </c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42"/>
      <c r="B90" s="42"/>
      <c r="C90" s="17">
        <v>4.5</v>
      </c>
      <c r="D90" s="17" t="s">
        <v>89</v>
      </c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42"/>
      <c r="B91" s="42"/>
      <c r="C91" s="17">
        <v>5.0</v>
      </c>
      <c r="D91" s="17" t="s">
        <v>89</v>
      </c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42"/>
      <c r="B92" s="42"/>
      <c r="C92" s="17">
        <v>5.5</v>
      </c>
      <c r="D92" s="17" t="s">
        <v>89</v>
      </c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42"/>
      <c r="B93" s="46"/>
      <c r="C93" s="17">
        <v>6.0</v>
      </c>
      <c r="D93" s="17" t="s">
        <v>89</v>
      </c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42"/>
      <c r="B94" s="41">
        <v>9.0</v>
      </c>
      <c r="C94" s="17">
        <v>2.5</v>
      </c>
      <c r="D94" s="17">
        <v>74.95</v>
      </c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42"/>
      <c r="B95" s="42"/>
      <c r="C95" s="17">
        <v>3.0</v>
      </c>
      <c r="D95" s="17">
        <v>93.87</v>
      </c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42"/>
      <c r="B96" s="42"/>
      <c r="C96" s="17">
        <v>3.5</v>
      </c>
      <c r="D96" s="17" t="s">
        <v>89</v>
      </c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42"/>
      <c r="B97" s="42"/>
      <c r="C97" s="17">
        <v>4.0</v>
      </c>
      <c r="D97" s="17" t="s">
        <v>89</v>
      </c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42"/>
      <c r="B98" s="42"/>
      <c r="C98" s="17">
        <v>4.5</v>
      </c>
      <c r="D98" s="17" t="s">
        <v>89</v>
      </c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42"/>
      <c r="B99" s="42"/>
      <c r="C99" s="17">
        <v>5.0</v>
      </c>
      <c r="D99" s="17" t="s">
        <v>89</v>
      </c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42"/>
      <c r="B100" s="42"/>
      <c r="C100" s="17">
        <v>5.5</v>
      </c>
      <c r="D100" s="17" t="s">
        <v>89</v>
      </c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42"/>
      <c r="B101" s="46"/>
      <c r="C101" s="17">
        <v>6.0</v>
      </c>
      <c r="D101" s="17" t="s">
        <v>89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42"/>
      <c r="B102" s="41">
        <v>10.0</v>
      </c>
      <c r="C102" s="17">
        <v>2.5</v>
      </c>
      <c r="D102" s="17">
        <v>85.85</v>
      </c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42"/>
      <c r="B103" s="42"/>
      <c r="C103" s="17">
        <v>3.0</v>
      </c>
      <c r="D103" s="17" t="s">
        <v>89</v>
      </c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42"/>
      <c r="B104" s="42"/>
      <c r="C104" s="17">
        <v>3.5</v>
      </c>
      <c r="D104" s="17" t="s">
        <v>89</v>
      </c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42"/>
      <c r="B105" s="42"/>
      <c r="C105" s="17">
        <v>4.0</v>
      </c>
      <c r="D105" s="17" t="s">
        <v>89</v>
      </c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42"/>
      <c r="B106" s="42"/>
      <c r="C106" s="17">
        <v>4.5</v>
      </c>
      <c r="D106" s="17" t="s">
        <v>89</v>
      </c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42"/>
      <c r="B107" s="42"/>
      <c r="C107" s="17">
        <v>5.0</v>
      </c>
      <c r="D107" s="17" t="s">
        <v>89</v>
      </c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42"/>
      <c r="B108" s="42"/>
      <c r="C108" s="17">
        <v>5.5</v>
      </c>
      <c r="D108" s="17" t="s">
        <v>89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42"/>
      <c r="B109" s="46"/>
      <c r="C109" s="17">
        <v>6.0</v>
      </c>
      <c r="D109" s="17" t="s">
        <v>89</v>
      </c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42"/>
      <c r="B110" s="41">
        <v>11.0</v>
      </c>
      <c r="C110" s="17">
        <v>2.5</v>
      </c>
      <c r="D110" s="17">
        <v>95.31</v>
      </c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42"/>
      <c r="B111" s="42"/>
      <c r="C111" s="17">
        <v>3.0</v>
      </c>
      <c r="D111" s="17" t="s">
        <v>89</v>
      </c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42"/>
      <c r="B112" s="42"/>
      <c r="C112" s="17">
        <v>3.5</v>
      </c>
      <c r="D112" s="17" t="s">
        <v>89</v>
      </c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42"/>
      <c r="B113" s="42"/>
      <c r="C113" s="17">
        <v>4.0</v>
      </c>
      <c r="D113" s="17" t="s">
        <v>89</v>
      </c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42"/>
      <c r="B114" s="42"/>
      <c r="C114" s="17">
        <v>4.5</v>
      </c>
      <c r="D114" s="17" t="s">
        <v>89</v>
      </c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42"/>
      <c r="B115" s="42"/>
      <c r="C115" s="17">
        <v>5.0</v>
      </c>
      <c r="D115" s="17" t="s">
        <v>89</v>
      </c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42"/>
      <c r="B116" s="42"/>
      <c r="C116" s="17">
        <v>5.5</v>
      </c>
      <c r="D116" s="17" t="s">
        <v>89</v>
      </c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42"/>
      <c r="B117" s="46"/>
      <c r="C117" s="17">
        <v>6.0</v>
      </c>
      <c r="D117" s="17" t="s">
        <v>89</v>
      </c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42"/>
      <c r="B118" s="41">
        <v>12.0</v>
      </c>
      <c r="C118" s="17">
        <v>2.5</v>
      </c>
      <c r="D118" s="17" t="s">
        <v>89</v>
      </c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42"/>
      <c r="B119" s="42"/>
      <c r="C119" s="17">
        <v>3.0</v>
      </c>
      <c r="D119" s="17" t="s">
        <v>89</v>
      </c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42"/>
      <c r="B120" s="42"/>
      <c r="C120" s="17">
        <v>3.5</v>
      </c>
      <c r="D120" s="17" t="s">
        <v>89</v>
      </c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42"/>
      <c r="B121" s="42"/>
      <c r="C121" s="17">
        <v>4.0</v>
      </c>
      <c r="D121" s="17" t="s">
        <v>89</v>
      </c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42"/>
      <c r="B122" s="42"/>
      <c r="C122" s="17">
        <v>4.5</v>
      </c>
      <c r="D122" s="17" t="s">
        <v>89</v>
      </c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42"/>
      <c r="B123" s="42"/>
      <c r="C123" s="17">
        <v>5.0</v>
      </c>
      <c r="D123" s="17" t="s">
        <v>89</v>
      </c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42"/>
      <c r="B124" s="42"/>
      <c r="C124" s="17">
        <v>5.5</v>
      </c>
      <c r="D124" s="17" t="s">
        <v>89</v>
      </c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46"/>
      <c r="B125" s="46"/>
      <c r="C125" s="17">
        <v>6.0</v>
      </c>
      <c r="D125" s="17" t="s">
        <v>89</v>
      </c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55">
        <v>3.25</v>
      </c>
      <c r="B126" s="41">
        <v>6.0</v>
      </c>
      <c r="C126" s="17">
        <v>2.5</v>
      </c>
      <c r="D126" s="17">
        <v>24.76</v>
      </c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42"/>
      <c r="B127" s="42"/>
      <c r="C127" s="17">
        <v>3.0</v>
      </c>
      <c r="D127" s="17">
        <v>28.26</v>
      </c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42"/>
      <c r="B128" s="42"/>
      <c r="C128" s="17">
        <v>3.5</v>
      </c>
      <c r="D128" s="17">
        <v>31.19</v>
      </c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42"/>
      <c r="B129" s="42"/>
      <c r="C129" s="17">
        <v>4.0</v>
      </c>
      <c r="D129" s="17">
        <v>34.52</v>
      </c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42"/>
      <c r="B130" s="42"/>
      <c r="C130" s="17">
        <v>4.5</v>
      </c>
      <c r="D130" s="17">
        <v>37.83</v>
      </c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42"/>
      <c r="B131" s="42"/>
      <c r="C131" s="17">
        <v>5.0</v>
      </c>
      <c r="D131" s="17">
        <v>42.42</v>
      </c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42"/>
      <c r="B132" s="42"/>
      <c r="C132" s="17">
        <v>5.5</v>
      </c>
      <c r="D132" s="17">
        <v>44.09</v>
      </c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42"/>
      <c r="B133" s="46"/>
      <c r="C133" s="17">
        <v>6.0</v>
      </c>
      <c r="D133" s="34">
        <v>46.31</v>
      </c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42"/>
      <c r="B134" s="41">
        <v>7.0</v>
      </c>
      <c r="C134" s="17">
        <v>2.5</v>
      </c>
      <c r="D134" s="17">
        <v>27.41</v>
      </c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42"/>
      <c r="B135" s="42"/>
      <c r="C135" s="17">
        <v>3.0</v>
      </c>
      <c r="D135" s="17">
        <v>31.96</v>
      </c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42"/>
      <c r="B136" s="42"/>
      <c r="C136" s="17">
        <v>3.5</v>
      </c>
      <c r="D136" s="17">
        <v>34.97</v>
      </c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42"/>
      <c r="B137" s="42"/>
      <c r="C137" s="17">
        <v>4.0</v>
      </c>
      <c r="D137" s="17">
        <v>40.6</v>
      </c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42"/>
      <c r="B138" s="42"/>
      <c r="C138" s="17">
        <v>4.5</v>
      </c>
      <c r="D138" s="17">
        <v>45.56</v>
      </c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42"/>
      <c r="B139" s="42"/>
      <c r="C139" s="17">
        <v>5.0</v>
      </c>
      <c r="D139" s="17">
        <v>52.82</v>
      </c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42"/>
      <c r="B140" s="42"/>
      <c r="C140" s="17">
        <v>5.5</v>
      </c>
      <c r="D140" s="17">
        <v>54.77</v>
      </c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42"/>
      <c r="B141" s="46"/>
      <c r="C141" s="17">
        <v>6.0</v>
      </c>
      <c r="D141" s="17">
        <v>56.01</v>
      </c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42"/>
      <c r="B142" s="41">
        <v>8.0</v>
      </c>
      <c r="C142" s="17">
        <v>2.5</v>
      </c>
      <c r="D142" s="17">
        <v>30.7</v>
      </c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42"/>
      <c r="B143" s="42"/>
      <c r="C143" s="17">
        <v>3.0</v>
      </c>
      <c r="D143" s="17">
        <v>35.44</v>
      </c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42"/>
      <c r="B144" s="42"/>
      <c r="C144" s="17">
        <v>3.5</v>
      </c>
      <c r="D144" s="17">
        <v>40.41</v>
      </c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42"/>
      <c r="B145" s="42"/>
      <c r="C145" s="17">
        <v>4.0</v>
      </c>
      <c r="D145" s="17">
        <v>49.24</v>
      </c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42"/>
      <c r="B146" s="42"/>
      <c r="C146" s="17">
        <v>4.5</v>
      </c>
      <c r="D146" s="17">
        <v>54.95</v>
      </c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42"/>
      <c r="B147" s="42"/>
      <c r="C147" s="17">
        <v>5.0</v>
      </c>
      <c r="D147" s="17">
        <v>58.58</v>
      </c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42"/>
      <c r="B148" s="42"/>
      <c r="C148" s="17">
        <v>5.5</v>
      </c>
      <c r="D148" s="17">
        <v>59.79</v>
      </c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42"/>
      <c r="B149" s="46"/>
      <c r="C149" s="17">
        <v>6.0</v>
      </c>
      <c r="D149" s="17">
        <v>64.0</v>
      </c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42"/>
      <c r="B150" s="41">
        <v>9.0</v>
      </c>
      <c r="C150" s="17">
        <v>2.5</v>
      </c>
      <c r="D150" s="17">
        <v>33.48</v>
      </c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42"/>
      <c r="B151" s="42"/>
      <c r="C151" s="17">
        <v>3.0</v>
      </c>
      <c r="D151" s="17">
        <v>40.27</v>
      </c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42"/>
      <c r="B152" s="42"/>
      <c r="C152" s="17">
        <v>3.5</v>
      </c>
      <c r="D152" s="17">
        <v>47.57</v>
      </c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42"/>
      <c r="B153" s="42"/>
      <c r="C153" s="17">
        <v>4.0</v>
      </c>
      <c r="D153" s="17">
        <v>55.94</v>
      </c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42"/>
      <c r="B154" s="42"/>
      <c r="C154" s="17">
        <v>4.5</v>
      </c>
      <c r="D154" s="17">
        <v>59.29</v>
      </c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42"/>
      <c r="B155" s="42"/>
      <c r="C155" s="17">
        <v>5.0</v>
      </c>
      <c r="D155" s="17">
        <v>68.11</v>
      </c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42"/>
      <c r="B156" s="42"/>
      <c r="C156" s="17">
        <v>5.5</v>
      </c>
      <c r="D156" s="17">
        <v>70.2</v>
      </c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42"/>
      <c r="B157" s="46"/>
      <c r="C157" s="17">
        <v>6.0</v>
      </c>
      <c r="D157" s="17">
        <v>71.99</v>
      </c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42"/>
      <c r="B158" s="41">
        <v>10.0</v>
      </c>
      <c r="C158" s="17">
        <v>2.5</v>
      </c>
      <c r="D158" s="17">
        <v>36.79</v>
      </c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42"/>
      <c r="B159" s="42"/>
      <c r="C159" s="17">
        <v>3.0</v>
      </c>
      <c r="D159" s="17">
        <v>46.28</v>
      </c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42"/>
      <c r="B160" s="42"/>
      <c r="C160" s="17">
        <v>3.5</v>
      </c>
      <c r="D160" s="17">
        <v>54.68</v>
      </c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42"/>
      <c r="B161" s="42"/>
      <c r="C161" s="17">
        <v>4.0</v>
      </c>
      <c r="D161" s="17">
        <v>59.88</v>
      </c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42"/>
      <c r="B162" s="42"/>
      <c r="C162" s="17">
        <v>4.5</v>
      </c>
      <c r="D162" s="17">
        <v>68.52</v>
      </c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42"/>
      <c r="B163" s="42"/>
      <c r="C163" s="17">
        <v>5.0</v>
      </c>
      <c r="D163" s="17">
        <v>74.35</v>
      </c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42"/>
      <c r="B164" s="42"/>
      <c r="C164" s="17">
        <v>5.5</v>
      </c>
      <c r="D164" s="17">
        <v>80.3</v>
      </c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42"/>
      <c r="B165" s="46"/>
      <c r="C165" s="17">
        <v>6.0</v>
      </c>
      <c r="D165" s="17">
        <v>85.47</v>
      </c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42"/>
      <c r="B166" s="41">
        <v>11.0</v>
      </c>
      <c r="C166" s="17">
        <v>2.5</v>
      </c>
      <c r="D166" s="17">
        <v>40.88</v>
      </c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42"/>
      <c r="B167" s="42"/>
      <c r="C167" s="17">
        <v>3.0</v>
      </c>
      <c r="D167" s="17">
        <v>53.11</v>
      </c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42"/>
      <c r="B168" s="42"/>
      <c r="C168" s="17">
        <v>3.5</v>
      </c>
      <c r="D168" s="17">
        <v>58.26</v>
      </c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42"/>
      <c r="B169" s="42"/>
      <c r="C169" s="17">
        <v>4.0</v>
      </c>
      <c r="D169" s="17">
        <v>68.86</v>
      </c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42"/>
      <c r="B170" s="42"/>
      <c r="C170" s="17">
        <v>4.5</v>
      </c>
      <c r="D170" s="17">
        <v>74.12</v>
      </c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42"/>
      <c r="B171" s="42"/>
      <c r="C171" s="17">
        <v>5.0</v>
      </c>
      <c r="D171" s="17">
        <v>87.7</v>
      </c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42"/>
      <c r="B172" s="42"/>
      <c r="C172" s="17">
        <v>5.5</v>
      </c>
      <c r="D172" s="17">
        <v>90.0</v>
      </c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42"/>
      <c r="B173" s="46"/>
      <c r="C173" s="17">
        <v>6.0</v>
      </c>
      <c r="D173" s="17">
        <v>99.81</v>
      </c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42"/>
      <c r="B174" s="41">
        <v>12.0</v>
      </c>
      <c r="C174" s="17">
        <v>2.5</v>
      </c>
      <c r="D174" s="17">
        <v>45.77</v>
      </c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42"/>
      <c r="B175" s="42"/>
      <c r="C175" s="17">
        <v>3.0</v>
      </c>
      <c r="D175" s="17">
        <v>57.01</v>
      </c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42"/>
      <c r="B176" s="42"/>
      <c r="C176" s="17">
        <v>3.5</v>
      </c>
      <c r="D176" s="17">
        <v>65.53</v>
      </c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42"/>
      <c r="B177" s="42"/>
      <c r="C177" s="17">
        <v>4.0</v>
      </c>
      <c r="D177" s="17">
        <v>73.94</v>
      </c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42"/>
      <c r="B178" s="42"/>
      <c r="C178" s="17">
        <v>4.5</v>
      </c>
      <c r="D178" s="17">
        <v>86.82</v>
      </c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42"/>
      <c r="B179" s="42"/>
      <c r="C179" s="17">
        <v>5.0</v>
      </c>
      <c r="D179" s="17" t="s">
        <v>89</v>
      </c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42"/>
      <c r="B180" s="42"/>
      <c r="C180" s="17">
        <v>5.5</v>
      </c>
      <c r="D180" s="17" t="s">
        <v>89</v>
      </c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46"/>
      <c r="B181" s="46"/>
      <c r="C181" s="17">
        <v>6.0</v>
      </c>
      <c r="D181" s="17" t="s">
        <v>89</v>
      </c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56">
        <v>4.0</v>
      </c>
      <c r="B182" s="41">
        <v>6.0</v>
      </c>
      <c r="C182" s="17">
        <v>2.5</v>
      </c>
      <c r="D182" s="17" t="s">
        <v>89</v>
      </c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42"/>
      <c r="B183" s="42"/>
      <c r="C183" s="17">
        <v>3.0</v>
      </c>
      <c r="D183" s="17" t="s">
        <v>89</v>
      </c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42"/>
      <c r="B184" s="42"/>
      <c r="C184" s="17">
        <v>3.5</v>
      </c>
      <c r="D184" s="17" t="s">
        <v>89</v>
      </c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42"/>
      <c r="B185" s="42"/>
      <c r="C185" s="17">
        <v>4.0</v>
      </c>
      <c r="D185" s="17">
        <v>25.68</v>
      </c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42"/>
      <c r="B186" s="42"/>
      <c r="C186" s="17">
        <v>4.5</v>
      </c>
      <c r="D186" s="17">
        <v>27.32</v>
      </c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42"/>
      <c r="B187" s="42"/>
      <c r="C187" s="17">
        <v>5.0</v>
      </c>
      <c r="D187" s="17">
        <v>29.3</v>
      </c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42"/>
      <c r="B188" s="42"/>
      <c r="C188" s="17">
        <v>5.5</v>
      </c>
      <c r="D188" s="17">
        <v>29.97</v>
      </c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42"/>
      <c r="B189" s="46"/>
      <c r="C189" s="17">
        <v>6.0</v>
      </c>
      <c r="D189" s="34">
        <v>31.02</v>
      </c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42"/>
      <c r="B190" s="41">
        <v>7.0</v>
      </c>
      <c r="C190" s="17">
        <v>2.5</v>
      </c>
      <c r="D190" s="17" t="s">
        <v>89</v>
      </c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42"/>
      <c r="B191" s="42"/>
      <c r="C191" s="17">
        <v>3.0</v>
      </c>
      <c r="D191" s="17" t="s">
        <v>89</v>
      </c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42"/>
      <c r="B192" s="42"/>
      <c r="C192" s="17">
        <v>3.5</v>
      </c>
      <c r="D192" s="17">
        <v>25.98</v>
      </c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42"/>
      <c r="B193" s="42"/>
      <c r="C193" s="17">
        <v>4.0</v>
      </c>
      <c r="D193" s="17">
        <v>28.57</v>
      </c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42"/>
      <c r="B194" s="42"/>
      <c r="C194" s="17">
        <v>4.5</v>
      </c>
      <c r="D194" s="17">
        <v>30.73</v>
      </c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42"/>
      <c r="B195" s="42"/>
      <c r="C195" s="17">
        <v>5.0</v>
      </c>
      <c r="D195" s="17">
        <v>34.19</v>
      </c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42"/>
      <c r="B196" s="42"/>
      <c r="C196" s="17">
        <v>5.5</v>
      </c>
      <c r="D196" s="17">
        <v>35.36</v>
      </c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42"/>
      <c r="B197" s="46"/>
      <c r="C197" s="17">
        <v>6.0</v>
      </c>
      <c r="D197" s="17">
        <v>36.61</v>
      </c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42"/>
      <c r="B198" s="41">
        <v>8.0</v>
      </c>
      <c r="C198" s="17">
        <v>2.5</v>
      </c>
      <c r="D198" s="17" t="s">
        <v>89</v>
      </c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42"/>
      <c r="B199" s="42"/>
      <c r="C199" s="17">
        <v>3.0</v>
      </c>
      <c r="D199" s="17">
        <v>26.21</v>
      </c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42"/>
      <c r="B200" s="42"/>
      <c r="C200" s="17">
        <v>3.5</v>
      </c>
      <c r="D200" s="17">
        <v>28.5</v>
      </c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42"/>
      <c r="B201" s="42"/>
      <c r="C201" s="17">
        <v>4.0</v>
      </c>
      <c r="D201" s="17">
        <v>32.19</v>
      </c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42"/>
      <c r="B202" s="42"/>
      <c r="C202" s="17">
        <v>4.5</v>
      </c>
      <c r="D202" s="17">
        <v>35.47</v>
      </c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42"/>
      <c r="B203" s="42"/>
      <c r="C203" s="17">
        <v>5.0</v>
      </c>
      <c r="D203" s="17">
        <v>39.43</v>
      </c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42"/>
      <c r="B204" s="42"/>
      <c r="C204" s="17">
        <v>5.5</v>
      </c>
      <c r="D204" s="17">
        <v>40.55</v>
      </c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42"/>
      <c r="B205" s="46"/>
      <c r="C205" s="17">
        <v>6.0</v>
      </c>
      <c r="D205" s="17">
        <v>41.57</v>
      </c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42"/>
      <c r="B206" s="41">
        <v>9.0</v>
      </c>
      <c r="C206" s="17">
        <v>2.5</v>
      </c>
      <c r="D206" s="17">
        <v>25.0</v>
      </c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42"/>
      <c r="B207" s="42"/>
      <c r="C207" s="17">
        <v>3.0</v>
      </c>
      <c r="D207" s="17">
        <v>28.44</v>
      </c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42"/>
      <c r="B208" s="42"/>
      <c r="C208" s="17">
        <v>3.5</v>
      </c>
      <c r="D208" s="17">
        <v>31.53</v>
      </c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42"/>
      <c r="B209" s="42"/>
      <c r="C209" s="17">
        <v>4.0</v>
      </c>
      <c r="D209" s="17">
        <v>36.53</v>
      </c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42"/>
      <c r="B210" s="42"/>
      <c r="C210" s="17">
        <v>4.5</v>
      </c>
      <c r="D210" s="17">
        <v>40.16</v>
      </c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42"/>
      <c r="B211" s="42"/>
      <c r="C211" s="17">
        <v>5.0</v>
      </c>
      <c r="D211" s="17">
        <v>43.34</v>
      </c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42"/>
      <c r="B212" s="42"/>
      <c r="C212" s="17">
        <v>5.5</v>
      </c>
      <c r="D212" s="17">
        <v>44.42</v>
      </c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42"/>
      <c r="B213" s="46"/>
      <c r="C213" s="17">
        <v>6.0</v>
      </c>
      <c r="D213" s="17">
        <v>46.57</v>
      </c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42"/>
      <c r="B214" s="41">
        <v>10.0</v>
      </c>
      <c r="C214" s="17">
        <v>2.5</v>
      </c>
      <c r="D214" s="17">
        <v>26.84</v>
      </c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42"/>
      <c r="B215" s="42"/>
      <c r="C215" s="17">
        <v>3.0</v>
      </c>
      <c r="D215" s="17">
        <v>31.01</v>
      </c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42"/>
      <c r="B216" s="42"/>
      <c r="C216" s="17">
        <v>3.5</v>
      </c>
      <c r="D216" s="17">
        <v>35.31</v>
      </c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42"/>
      <c r="B217" s="42"/>
      <c r="C217" s="17">
        <v>4.0</v>
      </c>
      <c r="D217" s="17">
        <v>40.62</v>
      </c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42"/>
      <c r="B218" s="42"/>
      <c r="C218" s="17">
        <v>4.5</v>
      </c>
      <c r="D218" s="17">
        <v>44.37</v>
      </c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42"/>
      <c r="B219" s="42"/>
      <c r="C219" s="17">
        <v>5.0</v>
      </c>
      <c r="D219" s="17">
        <v>50.35</v>
      </c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42"/>
      <c r="B220" s="42"/>
      <c r="C220" s="17">
        <v>5.5</v>
      </c>
      <c r="D220" s="17">
        <v>51.74</v>
      </c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42"/>
      <c r="B221" s="46"/>
      <c r="C221" s="17">
        <v>6.0</v>
      </c>
      <c r="D221" s="17">
        <v>53.23</v>
      </c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42"/>
      <c r="B222" s="41">
        <v>11.0</v>
      </c>
      <c r="C222" s="17">
        <v>2.5</v>
      </c>
      <c r="D222" s="17">
        <v>28.69</v>
      </c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42"/>
      <c r="B223" s="42"/>
      <c r="C223" s="17">
        <v>3.0</v>
      </c>
      <c r="D223" s="17">
        <v>34.36</v>
      </c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42"/>
      <c r="B224" s="42"/>
      <c r="C224" s="17">
        <v>3.5</v>
      </c>
      <c r="D224" s="17">
        <v>39.09</v>
      </c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42"/>
      <c r="B225" s="42"/>
      <c r="C225" s="17">
        <v>4.0</v>
      </c>
      <c r="D225" s="17">
        <v>43.72</v>
      </c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42"/>
      <c r="B226" s="42"/>
      <c r="C226" s="17">
        <v>4.5</v>
      </c>
      <c r="D226" s="17">
        <v>50.18</v>
      </c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42"/>
      <c r="B227" s="42"/>
      <c r="C227" s="17">
        <v>5.0</v>
      </c>
      <c r="D227" s="17">
        <v>54.72</v>
      </c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42"/>
      <c r="B228" s="42"/>
      <c r="C228" s="17">
        <v>5.5</v>
      </c>
      <c r="D228" s="17">
        <v>56.25</v>
      </c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42"/>
      <c r="B229" s="46"/>
      <c r="C229" s="17">
        <v>6.0</v>
      </c>
      <c r="D229" s="17">
        <v>57.89</v>
      </c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42"/>
      <c r="B230" s="41">
        <v>12.0</v>
      </c>
      <c r="C230" s="17">
        <v>2.5</v>
      </c>
      <c r="D230" s="17">
        <v>30.81</v>
      </c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42"/>
      <c r="B231" s="42"/>
      <c r="C231" s="17">
        <v>3.0</v>
      </c>
      <c r="D231" s="17">
        <v>37.72</v>
      </c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42"/>
      <c r="B232" s="42"/>
      <c r="C232" s="17">
        <v>3.5</v>
      </c>
      <c r="D232" s="17">
        <v>42.05</v>
      </c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42"/>
      <c r="B233" s="42"/>
      <c r="C233" s="17">
        <v>4.0</v>
      </c>
      <c r="D233" s="17">
        <v>50.03</v>
      </c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42"/>
      <c r="B234" s="42"/>
      <c r="C234" s="17">
        <v>4.5</v>
      </c>
      <c r="D234" s="17">
        <v>54.13</v>
      </c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42"/>
      <c r="B235" s="42"/>
      <c r="C235" s="17">
        <v>5.0</v>
      </c>
      <c r="D235" s="17">
        <v>59.08</v>
      </c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42"/>
      <c r="B236" s="42"/>
      <c r="C236" s="17">
        <v>5.5</v>
      </c>
      <c r="D236" s="17">
        <v>61.51</v>
      </c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46"/>
      <c r="B237" s="46"/>
      <c r="C237" s="18">
        <v>6.0</v>
      </c>
      <c r="D237" s="18">
        <v>65.03</v>
      </c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25">
    <mergeCell ref="A5:I5"/>
    <mergeCell ref="A70:A125"/>
    <mergeCell ref="B70:B77"/>
    <mergeCell ref="B78:B85"/>
    <mergeCell ref="B86:B93"/>
    <mergeCell ref="B94:B101"/>
    <mergeCell ref="B102:B109"/>
    <mergeCell ref="B158:B165"/>
    <mergeCell ref="B166:B173"/>
    <mergeCell ref="A126:A181"/>
    <mergeCell ref="A182:A237"/>
    <mergeCell ref="B182:B189"/>
    <mergeCell ref="B190:B197"/>
    <mergeCell ref="B198:B205"/>
    <mergeCell ref="B206:B213"/>
    <mergeCell ref="B214:B221"/>
    <mergeCell ref="B222:B229"/>
    <mergeCell ref="B230:B237"/>
    <mergeCell ref="B110:B117"/>
    <mergeCell ref="B118:B125"/>
    <mergeCell ref="B126:B133"/>
    <mergeCell ref="B134:B141"/>
    <mergeCell ref="B142:B149"/>
    <mergeCell ref="B150:B157"/>
    <mergeCell ref="B174:B18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11.63"/>
    <col customWidth="1" min="3" max="3" width="11.38"/>
    <col customWidth="1" min="4" max="4" width="12.88"/>
    <col customWidth="1" min="5" max="5" width="3.13"/>
    <col customWidth="1" min="6" max="6" width="2.88"/>
    <col customWidth="1" min="7" max="7" width="2.75"/>
    <col customWidth="1" min="8" max="9" width="3.13"/>
    <col customWidth="1" min="10" max="10" width="9.75"/>
    <col customWidth="1" min="11" max="11" width="10.5"/>
    <col customWidth="1" min="12" max="12" width="9.13"/>
    <col customWidth="1" min="13" max="14" width="9.5"/>
    <col customWidth="1" min="15" max="16" width="28.0"/>
  </cols>
  <sheetData>
    <row r="1">
      <c r="C1" s="58"/>
      <c r="D1" s="58"/>
      <c r="G1" s="58"/>
      <c r="H1" s="58"/>
      <c r="I1" s="58"/>
      <c r="J1" s="58"/>
      <c r="K1" s="58"/>
      <c r="L1" s="58"/>
      <c r="M1" s="58"/>
      <c r="N1" s="58"/>
      <c r="O1" s="59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</row>
    <row r="2">
      <c r="A2" s="60" t="s">
        <v>116</v>
      </c>
      <c r="M2" s="58"/>
      <c r="N2" s="58"/>
      <c r="O2" s="61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</row>
    <row r="3">
      <c r="M3" s="58"/>
      <c r="N3" s="58"/>
      <c r="O3" s="61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</row>
    <row r="4">
      <c r="A4" s="62" t="s">
        <v>117</v>
      </c>
      <c r="B4" s="62" t="s">
        <v>118</v>
      </c>
      <c r="C4" s="62" t="s">
        <v>119</v>
      </c>
      <c r="D4" s="62" t="s">
        <v>120</v>
      </c>
      <c r="E4" s="62" t="s">
        <v>121</v>
      </c>
      <c r="F4" s="62" t="s">
        <v>122</v>
      </c>
      <c r="G4" s="62" t="s">
        <v>123</v>
      </c>
      <c r="H4" s="62" t="s">
        <v>124</v>
      </c>
      <c r="I4" s="62" t="s">
        <v>125</v>
      </c>
      <c r="J4" s="62" t="s">
        <v>126</v>
      </c>
      <c r="K4" s="62" t="s">
        <v>127</v>
      </c>
      <c r="L4" s="62" t="s">
        <v>128</v>
      </c>
      <c r="M4" s="63" t="s">
        <v>129</v>
      </c>
      <c r="N4" s="58"/>
      <c r="O4" s="64"/>
      <c r="P4" s="65" t="s">
        <v>130</v>
      </c>
      <c r="Q4" s="34">
        <v>1051.0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</row>
    <row r="5">
      <c r="A5" s="41">
        <v>5.0</v>
      </c>
      <c r="B5" s="17" t="s">
        <v>131</v>
      </c>
      <c r="C5" s="34">
        <v>1.0</v>
      </c>
      <c r="D5" s="34" t="s">
        <v>132</v>
      </c>
      <c r="E5" s="34">
        <v>0.0</v>
      </c>
      <c r="F5" s="34">
        <v>0.0</v>
      </c>
      <c r="G5" s="34">
        <v>0.0</v>
      </c>
      <c r="H5" s="34">
        <v>0.0</v>
      </c>
      <c r="I5" s="34">
        <v>0.0</v>
      </c>
      <c r="J5" s="66">
        <f t="shared" ref="J5:J21" si="1">Q$4+Q$8*C5</f>
        <v>1101</v>
      </c>
      <c r="K5" s="66">
        <f t="shared" ref="K5:K21" si="2">J5-(Q$8/2)</f>
        <v>1076</v>
      </c>
      <c r="L5" s="34">
        <f t="shared" ref="L5:L21" si="3">J5+Q$8/2</f>
        <v>1126</v>
      </c>
      <c r="M5" s="63">
        <v>1080.0</v>
      </c>
      <c r="N5" s="63">
        <v>1086.0</v>
      </c>
      <c r="O5" s="64"/>
      <c r="P5" s="65" t="s">
        <v>133</v>
      </c>
      <c r="Q5" s="34">
        <v>1951.0</v>
      </c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</row>
    <row r="6">
      <c r="A6" s="42"/>
      <c r="B6" s="41" t="s">
        <v>134</v>
      </c>
      <c r="C6" s="34">
        <v>2.0</v>
      </c>
      <c r="D6" s="34" t="s">
        <v>135</v>
      </c>
      <c r="E6" s="67">
        <v>1.0</v>
      </c>
      <c r="F6" s="67">
        <v>1.0</v>
      </c>
      <c r="G6" s="67">
        <v>1.0</v>
      </c>
      <c r="H6" s="67">
        <v>1.0</v>
      </c>
      <c r="I6" s="67">
        <v>1.0</v>
      </c>
      <c r="J6" s="66">
        <f t="shared" si="1"/>
        <v>1151</v>
      </c>
      <c r="K6" s="66">
        <f t="shared" si="2"/>
        <v>1126</v>
      </c>
      <c r="L6" s="34">
        <f t="shared" si="3"/>
        <v>1176</v>
      </c>
      <c r="M6" s="63">
        <v>1131.0</v>
      </c>
      <c r="N6" s="63">
        <v>1136.0</v>
      </c>
      <c r="O6" s="64"/>
      <c r="P6" s="65" t="s">
        <v>136</v>
      </c>
      <c r="Q6" s="34">
        <v>20.0</v>
      </c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</row>
    <row r="7">
      <c r="A7" s="42"/>
      <c r="B7" s="42"/>
      <c r="C7" s="34">
        <v>3.0</v>
      </c>
      <c r="D7" s="34" t="s">
        <v>137</v>
      </c>
      <c r="E7" s="67">
        <v>1.0</v>
      </c>
      <c r="F7" s="67">
        <v>1.0</v>
      </c>
      <c r="G7" s="67">
        <v>1.0</v>
      </c>
      <c r="H7" s="67">
        <v>1.0</v>
      </c>
      <c r="I7" s="34">
        <v>0.0</v>
      </c>
      <c r="J7" s="66">
        <f t="shared" si="1"/>
        <v>1201</v>
      </c>
      <c r="K7" s="66">
        <f t="shared" si="2"/>
        <v>1176</v>
      </c>
      <c r="L7" s="34">
        <f t="shared" si="3"/>
        <v>1226</v>
      </c>
      <c r="M7" s="63">
        <v>1180.0</v>
      </c>
      <c r="N7" s="63">
        <v>1186.0</v>
      </c>
      <c r="O7" s="64"/>
      <c r="P7" s="65" t="s">
        <v>138</v>
      </c>
      <c r="Q7" s="34">
        <v>18.0</v>
      </c>
      <c r="R7" s="63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</row>
    <row r="8">
      <c r="A8" s="42"/>
      <c r="B8" s="42"/>
      <c r="C8" s="34">
        <v>4.0</v>
      </c>
      <c r="D8" s="34" t="s">
        <v>139</v>
      </c>
      <c r="E8" s="67">
        <v>1.0</v>
      </c>
      <c r="F8" s="67">
        <v>1.0</v>
      </c>
      <c r="G8" s="67">
        <v>1.0</v>
      </c>
      <c r="H8" s="34">
        <v>0.0</v>
      </c>
      <c r="I8" s="34">
        <v>0.0</v>
      </c>
      <c r="J8" s="66">
        <f t="shared" si="1"/>
        <v>1251</v>
      </c>
      <c r="K8" s="66">
        <f t="shared" si="2"/>
        <v>1226</v>
      </c>
      <c r="L8" s="34">
        <f t="shared" si="3"/>
        <v>1276</v>
      </c>
      <c r="M8" s="63">
        <v>1221.0</v>
      </c>
      <c r="N8" s="63">
        <v>1228.0</v>
      </c>
      <c r="O8" s="64"/>
      <c r="P8" s="65" t="s">
        <v>140</v>
      </c>
      <c r="Q8" s="66">
        <f>ROUND((Q5-Q4)/Q7,0)</f>
        <v>50</v>
      </c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>
      <c r="A9" s="42"/>
      <c r="B9" s="42"/>
      <c r="C9" s="34">
        <v>5.0</v>
      </c>
      <c r="D9" s="34" t="s">
        <v>141</v>
      </c>
      <c r="E9" s="67">
        <v>1.0</v>
      </c>
      <c r="F9" s="67">
        <v>1.0</v>
      </c>
      <c r="G9" s="34">
        <v>0.0</v>
      </c>
      <c r="H9" s="34">
        <v>0.0</v>
      </c>
      <c r="I9" s="34">
        <v>0.0</v>
      </c>
      <c r="J9" s="66">
        <f t="shared" si="1"/>
        <v>1301</v>
      </c>
      <c r="K9" s="66">
        <f t="shared" si="2"/>
        <v>1276</v>
      </c>
      <c r="L9" s="34">
        <f t="shared" si="3"/>
        <v>1326</v>
      </c>
      <c r="M9" s="63">
        <v>1271.0</v>
      </c>
      <c r="N9" s="63">
        <v>1278.0</v>
      </c>
      <c r="O9" s="61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</row>
    <row r="10">
      <c r="A10" s="42"/>
      <c r="B10" s="42"/>
      <c r="C10" s="34">
        <v>6.0</v>
      </c>
      <c r="D10" s="34" t="s">
        <v>142</v>
      </c>
      <c r="E10" s="67">
        <v>1.0</v>
      </c>
      <c r="F10" s="34">
        <v>0.0</v>
      </c>
      <c r="G10" s="34">
        <v>0.0</v>
      </c>
      <c r="H10" s="34">
        <v>0.0</v>
      </c>
      <c r="I10" s="34">
        <v>0.0</v>
      </c>
      <c r="J10" s="66">
        <f t="shared" si="1"/>
        <v>1351</v>
      </c>
      <c r="K10" s="66">
        <f t="shared" si="2"/>
        <v>1326</v>
      </c>
      <c r="L10" s="34">
        <f t="shared" si="3"/>
        <v>1376</v>
      </c>
      <c r="M10" s="58"/>
      <c r="N10" s="58"/>
      <c r="O10" s="61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</row>
    <row r="11">
      <c r="A11" s="42"/>
      <c r="B11" s="42"/>
      <c r="C11" s="34">
        <v>7.0</v>
      </c>
      <c r="D11" s="34" t="s">
        <v>143</v>
      </c>
      <c r="E11" s="34">
        <v>0.0</v>
      </c>
      <c r="F11" s="67">
        <v>1.0</v>
      </c>
      <c r="G11" s="67">
        <v>1.0</v>
      </c>
      <c r="H11" s="67">
        <v>1.0</v>
      </c>
      <c r="I11" s="67">
        <v>1.0</v>
      </c>
      <c r="J11" s="66">
        <f t="shared" si="1"/>
        <v>1401</v>
      </c>
      <c r="K11" s="66">
        <f t="shared" si="2"/>
        <v>1376</v>
      </c>
      <c r="L11" s="34">
        <f t="shared" si="3"/>
        <v>1426</v>
      </c>
      <c r="M11" s="58"/>
      <c r="N11" s="58"/>
      <c r="O11" s="68"/>
      <c r="P11" s="69" t="s">
        <v>144</v>
      </c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</row>
    <row r="12">
      <c r="A12" s="42"/>
      <c r="B12" s="42"/>
      <c r="C12" s="34">
        <v>8.0</v>
      </c>
      <c r="D12" s="34" t="s">
        <v>145</v>
      </c>
      <c r="E12" s="34">
        <v>0.0</v>
      </c>
      <c r="F12" s="34">
        <v>0.0</v>
      </c>
      <c r="G12" s="67">
        <v>1.0</v>
      </c>
      <c r="H12" s="67">
        <v>1.0</v>
      </c>
      <c r="I12" s="67">
        <v>1.0</v>
      </c>
      <c r="J12" s="66">
        <f t="shared" si="1"/>
        <v>1451</v>
      </c>
      <c r="K12" s="66">
        <f t="shared" si="2"/>
        <v>1426</v>
      </c>
      <c r="L12" s="34">
        <f t="shared" si="3"/>
        <v>1476</v>
      </c>
      <c r="M12" s="58"/>
      <c r="N12" s="58"/>
      <c r="O12" s="68"/>
      <c r="P12" s="69" t="s">
        <v>146</v>
      </c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</row>
    <row r="13">
      <c r="A13" s="42"/>
      <c r="B13" s="42"/>
      <c r="C13" s="34">
        <v>9.0</v>
      </c>
      <c r="D13" s="34" t="s">
        <v>147</v>
      </c>
      <c r="E13" s="34">
        <v>0.0</v>
      </c>
      <c r="F13" s="34">
        <v>0.0</v>
      </c>
      <c r="G13" s="34">
        <v>0.0</v>
      </c>
      <c r="H13" s="67">
        <v>1.0</v>
      </c>
      <c r="I13" s="67">
        <v>1.0</v>
      </c>
      <c r="J13" s="66">
        <f t="shared" si="1"/>
        <v>1501</v>
      </c>
      <c r="K13" s="66">
        <f t="shared" si="2"/>
        <v>1476</v>
      </c>
      <c r="L13" s="34">
        <f t="shared" si="3"/>
        <v>1526</v>
      </c>
      <c r="M13" s="58"/>
      <c r="N13" s="58"/>
      <c r="O13" s="68"/>
      <c r="P13" s="69" t="s">
        <v>148</v>
      </c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</row>
    <row r="14">
      <c r="A14" s="42"/>
      <c r="B14" s="46"/>
      <c r="C14" s="34">
        <v>10.0</v>
      </c>
      <c r="D14" s="34" t="s">
        <v>149</v>
      </c>
      <c r="E14" s="34">
        <v>0.0</v>
      </c>
      <c r="F14" s="34">
        <v>0.0</v>
      </c>
      <c r="G14" s="34">
        <v>0.0</v>
      </c>
      <c r="H14" s="34">
        <v>0.0</v>
      </c>
      <c r="I14" s="67">
        <v>1.0</v>
      </c>
      <c r="J14" s="66">
        <f t="shared" si="1"/>
        <v>1551</v>
      </c>
      <c r="K14" s="66">
        <f t="shared" si="2"/>
        <v>1526</v>
      </c>
      <c r="L14" s="34">
        <f t="shared" si="3"/>
        <v>1576</v>
      </c>
      <c r="M14" s="58"/>
      <c r="N14" s="58"/>
      <c r="O14" s="61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</row>
    <row r="15">
      <c r="A15" s="42"/>
      <c r="B15" s="41" t="s">
        <v>150</v>
      </c>
      <c r="C15" s="34">
        <v>11.0</v>
      </c>
      <c r="D15" s="34" t="s">
        <v>151</v>
      </c>
      <c r="E15" s="67">
        <v>1.0</v>
      </c>
      <c r="F15" s="34">
        <v>0.0</v>
      </c>
      <c r="G15" s="67">
        <v>1.0</v>
      </c>
      <c r="H15" s="34">
        <v>0.0</v>
      </c>
      <c r="I15" s="67">
        <v>1.0</v>
      </c>
      <c r="J15" s="66">
        <f t="shared" si="1"/>
        <v>1601</v>
      </c>
      <c r="K15" s="66">
        <f t="shared" si="2"/>
        <v>1576</v>
      </c>
      <c r="L15" s="34">
        <f t="shared" si="3"/>
        <v>1626</v>
      </c>
      <c r="M15" s="58"/>
      <c r="N15" s="58"/>
      <c r="O15" s="61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</row>
    <row r="16">
      <c r="A16" s="42"/>
      <c r="B16" s="42"/>
      <c r="C16" s="34">
        <v>12.0</v>
      </c>
      <c r="D16" s="34" t="s">
        <v>152</v>
      </c>
      <c r="E16" s="34">
        <v>0.0</v>
      </c>
      <c r="F16" s="67">
        <v>1.0</v>
      </c>
      <c r="G16" s="34">
        <v>0.0</v>
      </c>
      <c r="H16" s="67">
        <v>1.0</v>
      </c>
      <c r="I16" s="34">
        <v>0.0</v>
      </c>
      <c r="J16" s="66">
        <f t="shared" si="1"/>
        <v>1651</v>
      </c>
      <c r="K16" s="66">
        <f t="shared" si="2"/>
        <v>1626</v>
      </c>
      <c r="L16" s="34">
        <f t="shared" si="3"/>
        <v>1676</v>
      </c>
      <c r="M16" s="58"/>
      <c r="N16" s="58"/>
      <c r="O16" s="61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</row>
    <row r="17">
      <c r="A17" s="42"/>
      <c r="B17" s="42"/>
      <c r="C17" s="34">
        <v>13.0</v>
      </c>
      <c r="D17" s="34" t="s">
        <v>153</v>
      </c>
      <c r="E17" s="67">
        <v>1.0</v>
      </c>
      <c r="F17" s="34">
        <v>0.0</v>
      </c>
      <c r="G17" s="67">
        <v>1.0</v>
      </c>
      <c r="H17" s="34">
        <v>0.0</v>
      </c>
      <c r="I17" s="34">
        <v>0.0</v>
      </c>
      <c r="J17" s="66">
        <f t="shared" si="1"/>
        <v>1701</v>
      </c>
      <c r="K17" s="66">
        <f t="shared" si="2"/>
        <v>1676</v>
      </c>
      <c r="L17" s="34">
        <f t="shared" si="3"/>
        <v>1726</v>
      </c>
      <c r="M17" s="58"/>
      <c r="N17" s="58"/>
      <c r="O17" s="61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</row>
    <row r="18">
      <c r="A18" s="42"/>
      <c r="B18" s="46"/>
      <c r="C18" s="34">
        <v>14.0</v>
      </c>
      <c r="D18" s="34" t="s">
        <v>154</v>
      </c>
      <c r="E18" s="34">
        <v>0.0</v>
      </c>
      <c r="F18" s="34">
        <v>0.0</v>
      </c>
      <c r="G18" s="67">
        <v>1.0</v>
      </c>
      <c r="H18" s="34">
        <v>0.0</v>
      </c>
      <c r="I18" s="67">
        <v>1.0</v>
      </c>
      <c r="J18" s="66">
        <f t="shared" si="1"/>
        <v>1751</v>
      </c>
      <c r="K18" s="66">
        <f t="shared" si="2"/>
        <v>1726</v>
      </c>
      <c r="L18" s="34">
        <f t="shared" si="3"/>
        <v>1776</v>
      </c>
      <c r="M18" s="58"/>
      <c r="N18" s="58"/>
      <c r="O18" s="61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</row>
    <row r="19">
      <c r="A19" s="42"/>
      <c r="B19" s="41" t="s">
        <v>155</v>
      </c>
      <c r="C19" s="34">
        <v>15.0</v>
      </c>
      <c r="D19" s="70" t="s">
        <v>156</v>
      </c>
      <c r="E19" s="67">
        <v>1.0</v>
      </c>
      <c r="F19" s="34">
        <v>0.0</v>
      </c>
      <c r="G19" s="34">
        <v>0.0</v>
      </c>
      <c r="H19" s="67">
        <v>1.0</v>
      </c>
      <c r="I19" s="34">
        <v>0.0</v>
      </c>
      <c r="J19" s="66">
        <f t="shared" si="1"/>
        <v>1801</v>
      </c>
      <c r="K19" s="66">
        <f t="shared" si="2"/>
        <v>1776</v>
      </c>
      <c r="L19" s="34">
        <f t="shared" si="3"/>
        <v>1826</v>
      </c>
      <c r="M19" s="58"/>
      <c r="N19" s="58"/>
      <c r="O19" s="61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</row>
    <row r="20">
      <c r="A20" s="42"/>
      <c r="B20" s="46"/>
      <c r="C20" s="34">
        <v>16.0</v>
      </c>
      <c r="D20" s="34" t="s">
        <v>156</v>
      </c>
      <c r="E20" s="34">
        <v>0.0</v>
      </c>
      <c r="F20" s="67">
        <v>1.0</v>
      </c>
      <c r="G20" s="34">
        <v>0.0</v>
      </c>
      <c r="H20" s="34">
        <v>0.0</v>
      </c>
      <c r="I20" s="67">
        <v>1.0</v>
      </c>
      <c r="J20" s="66">
        <f t="shared" si="1"/>
        <v>1851</v>
      </c>
      <c r="K20" s="66">
        <f t="shared" si="2"/>
        <v>1826</v>
      </c>
      <c r="L20" s="34">
        <f t="shared" si="3"/>
        <v>1876</v>
      </c>
      <c r="M20" s="58"/>
      <c r="N20" s="58"/>
      <c r="O20" s="61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</row>
    <row r="21">
      <c r="A21" s="46"/>
      <c r="B21" s="17" t="s">
        <v>157</v>
      </c>
      <c r="C21" s="34">
        <v>17.0</v>
      </c>
      <c r="D21" s="34" t="s">
        <v>158</v>
      </c>
      <c r="E21" s="67">
        <v>1.0</v>
      </c>
      <c r="F21" s="34">
        <v>0.0</v>
      </c>
      <c r="G21" s="34">
        <v>0.0</v>
      </c>
      <c r="H21" s="34">
        <v>0.0</v>
      </c>
      <c r="I21" s="67">
        <v>1.0</v>
      </c>
      <c r="J21" s="66">
        <f t="shared" si="1"/>
        <v>1901</v>
      </c>
      <c r="K21" s="66">
        <f t="shared" si="2"/>
        <v>1876</v>
      </c>
      <c r="L21" s="34">
        <f t="shared" si="3"/>
        <v>1926</v>
      </c>
      <c r="M21" s="58"/>
      <c r="N21" s="58"/>
      <c r="O21" s="61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</row>
    <row r="22">
      <c r="A22" s="13"/>
      <c r="B22" s="13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61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</row>
    <row r="23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61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</row>
    <row r="24">
      <c r="A24" s="58"/>
      <c r="B24" s="58"/>
      <c r="C24" s="58"/>
      <c r="D24" s="58"/>
      <c r="E24" s="58"/>
      <c r="F24" s="58"/>
      <c r="G24" s="58"/>
      <c r="I24" s="58"/>
      <c r="J24" s="58"/>
      <c r="K24" s="58"/>
      <c r="L24" s="58"/>
      <c r="M24" s="58"/>
      <c r="N24" s="58"/>
      <c r="O24" s="61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</row>
    <row r="25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61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</row>
    <row r="26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61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</row>
    <row r="27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61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</row>
    <row r="28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61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</row>
    <row r="29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61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</row>
    <row r="30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61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</row>
    <row r="3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61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</row>
    <row r="32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61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</row>
    <row r="33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61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</row>
    <row r="34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61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</row>
    <row r="35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61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</row>
    <row r="36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61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</row>
    <row r="37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61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</row>
    <row r="38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61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</row>
    <row r="39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61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</row>
    <row r="40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61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</row>
    <row r="41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61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</row>
    <row r="42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61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</row>
    <row r="43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61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</row>
    <row r="44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61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</row>
    <row r="45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61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</row>
    <row r="46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61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</row>
    <row r="47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61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</row>
    <row r="48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61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</row>
    <row r="49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61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</row>
    <row r="50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61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</row>
    <row r="51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61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</row>
    <row r="52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61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</row>
    <row r="53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61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</row>
    <row r="54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61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</row>
    <row r="55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61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</row>
    <row r="56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61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</row>
    <row r="57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61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</row>
    <row r="58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61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</row>
    <row r="59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61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</row>
    <row r="60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61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</row>
    <row r="6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61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</row>
    <row r="62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61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</row>
    <row r="63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61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</row>
    <row r="64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61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</row>
    <row r="65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61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</row>
    <row r="66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61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</row>
    <row r="67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61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</row>
    <row r="68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61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</row>
    <row r="69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61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</row>
    <row r="70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61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</row>
    <row r="7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61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</row>
    <row r="72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61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</row>
    <row r="73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61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</row>
    <row r="74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61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</row>
    <row r="75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61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</row>
    <row r="76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61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</row>
    <row r="77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61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</row>
    <row r="78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61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</row>
    <row r="79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61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</row>
    <row r="80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61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</row>
    <row r="8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61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</row>
    <row r="82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61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</row>
    <row r="83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61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</row>
    <row r="84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61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</row>
    <row r="85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61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</row>
    <row r="86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61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</row>
    <row r="87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61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</row>
    <row r="88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61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</row>
    <row r="89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61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</row>
    <row r="90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61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</row>
    <row r="9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61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</row>
    <row r="92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61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</row>
    <row r="93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61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</row>
    <row r="94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61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</row>
    <row r="95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61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</row>
    <row r="96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61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</row>
    <row r="97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61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</row>
    <row r="98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61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</row>
    <row r="99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61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</row>
    <row r="100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61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</row>
    <row r="10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61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</row>
    <row r="102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61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</row>
    <row r="103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61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</row>
    <row r="104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61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</row>
    <row r="105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61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</row>
    <row r="106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61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</row>
    <row r="107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61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</row>
    <row r="108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61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</row>
    <row r="109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61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</row>
    <row r="110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61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</row>
    <row r="11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61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</row>
    <row r="112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61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</row>
    <row r="113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61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</row>
    <row r="114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61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</row>
    <row r="115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61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</row>
    <row r="116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61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</row>
    <row r="117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61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</row>
    <row r="118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61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</row>
    <row r="119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61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</row>
    <row r="120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61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</row>
    <row r="12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61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</row>
    <row r="122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61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</row>
    <row r="123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61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</row>
    <row r="124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61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</row>
    <row r="125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61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</row>
    <row r="126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61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</row>
    <row r="127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61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</row>
    <row r="128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61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</row>
    <row r="129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61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</row>
    <row r="130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61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</row>
    <row r="13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61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</row>
    <row r="132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61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</row>
    <row r="133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61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</row>
    <row r="134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61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</row>
    <row r="135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61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</row>
    <row r="136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61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</row>
    <row r="137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61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</row>
    <row r="138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61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</row>
    <row r="139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61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</row>
    <row r="140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61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</row>
    <row r="14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61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</row>
    <row r="142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61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</row>
    <row r="143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61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</row>
    <row r="144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61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</row>
    <row r="145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61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</row>
    <row r="146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61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</row>
    <row r="147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61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</row>
    <row r="148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61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</row>
    <row r="149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61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</row>
    <row r="150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61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</row>
    <row r="15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61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</row>
    <row r="152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61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</row>
    <row r="153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61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</row>
    <row r="154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61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</row>
    <row r="155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61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</row>
    <row r="156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61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</row>
    <row r="157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61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</row>
    <row r="158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61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</row>
    <row r="159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61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</row>
    <row r="160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61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</row>
    <row r="16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61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</row>
    <row r="162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61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</row>
    <row r="163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61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</row>
    <row r="164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61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</row>
    <row r="165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61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</row>
    <row r="166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61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</row>
    <row r="167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61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</row>
    <row r="168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61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</row>
    <row r="169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61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</row>
    <row r="170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61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</row>
    <row r="17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61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</row>
    <row r="172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61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</row>
    <row r="173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61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</row>
    <row r="174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61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</row>
    <row r="175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61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</row>
    <row r="176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61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</row>
    <row r="177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61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</row>
    <row r="178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61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</row>
    <row r="179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61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</row>
    <row r="180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61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</row>
    <row r="18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61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</row>
    <row r="182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61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</row>
    <row r="183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61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</row>
    <row r="184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61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</row>
    <row r="185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61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</row>
    <row r="186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61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</row>
    <row r="187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61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</row>
    <row r="188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61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</row>
    <row r="189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61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</row>
    <row r="190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61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</row>
    <row r="19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61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</row>
    <row r="192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61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</row>
    <row r="193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61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</row>
    <row r="194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61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</row>
    <row r="195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61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</row>
    <row r="196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61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</row>
    <row r="197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61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</row>
    <row r="198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61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</row>
    <row r="199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61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</row>
    <row r="200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61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</row>
    <row r="20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61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</row>
    <row r="202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61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</row>
    <row r="203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61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</row>
    <row r="204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61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</row>
    <row r="205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61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</row>
    <row r="206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61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</row>
    <row r="207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61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</row>
    <row r="208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61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</row>
    <row r="209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61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</row>
    <row r="210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61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</row>
    <row r="21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61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</row>
    <row r="212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61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</row>
    <row r="213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61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</row>
    <row r="214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61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</row>
    <row r="215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61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</row>
    <row r="216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61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</row>
    <row r="217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61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</row>
    <row r="218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61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</row>
    <row r="219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61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</row>
    <row r="220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61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</row>
    <row r="22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61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</row>
    <row r="222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61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</row>
    <row r="223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61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</row>
    <row r="224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61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</row>
    <row r="225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61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</row>
    <row r="226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61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</row>
    <row r="227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61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</row>
    <row r="228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61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</row>
    <row r="229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61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</row>
    <row r="230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61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</row>
    <row r="23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61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</row>
    <row r="232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61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</row>
    <row r="233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61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</row>
    <row r="234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61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</row>
    <row r="235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61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</row>
    <row r="236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61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</row>
    <row r="237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61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</row>
    <row r="238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61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</row>
    <row r="239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61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</row>
    <row r="240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61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</row>
    <row r="24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61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</row>
    <row r="242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61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</row>
    <row r="243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61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</row>
    <row r="244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61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</row>
    <row r="245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61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</row>
    <row r="246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61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</row>
    <row r="247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61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</row>
    <row r="248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61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</row>
    <row r="249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61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  <c r="AF249" s="58"/>
    </row>
    <row r="250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61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  <c r="AE250" s="58"/>
      <c r="AF250" s="58"/>
    </row>
    <row r="25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61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</row>
    <row r="252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61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  <c r="AE252" s="58"/>
      <c r="AF252" s="58"/>
    </row>
    <row r="253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61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  <c r="AF253" s="58"/>
    </row>
    <row r="254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61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  <c r="AE254" s="58"/>
      <c r="AF254" s="58"/>
    </row>
    <row r="255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61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  <c r="AF255" s="58"/>
    </row>
    <row r="256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61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</row>
    <row r="257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61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</row>
    <row r="258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61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</row>
    <row r="259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61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</row>
    <row r="260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61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</row>
    <row r="26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61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</row>
    <row r="262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61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  <c r="AF262" s="58"/>
    </row>
    <row r="263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61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  <c r="AF263" s="58"/>
    </row>
    <row r="264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61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</row>
    <row r="265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61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</row>
    <row r="266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61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</row>
    <row r="267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61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  <c r="AF267" s="58"/>
    </row>
    <row r="268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61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</row>
    <row r="269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61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  <c r="AF269" s="58"/>
    </row>
    <row r="270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61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  <c r="AF270" s="58"/>
    </row>
    <row r="27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61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</row>
    <row r="272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61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</row>
    <row r="273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61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</row>
    <row r="274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61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</row>
    <row r="275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61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</row>
    <row r="276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61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</row>
    <row r="277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61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</row>
    <row r="278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61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</row>
    <row r="279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61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</row>
    <row r="280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61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</row>
    <row r="28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61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</row>
    <row r="282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61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</row>
    <row r="283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61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</row>
    <row r="284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61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</row>
    <row r="285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61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</row>
    <row r="286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61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</row>
    <row r="287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61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  <c r="AF287" s="58"/>
    </row>
    <row r="288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61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</row>
    <row r="289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61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</row>
    <row r="290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61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</row>
    <row r="29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61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</row>
    <row r="292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61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</row>
    <row r="293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61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</row>
    <row r="294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61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</row>
    <row r="295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61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</row>
    <row r="296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61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</row>
    <row r="297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61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  <c r="AF297" s="58"/>
    </row>
    <row r="298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61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  <c r="AE298" s="58"/>
      <c r="AF298" s="58"/>
    </row>
    <row r="299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61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  <c r="AF299" s="58"/>
    </row>
    <row r="300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61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  <c r="AF300" s="58"/>
    </row>
    <row r="30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61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  <c r="AF301" s="58"/>
    </row>
    <row r="302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61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  <c r="AF302" s="58"/>
    </row>
    <row r="303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61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  <c r="AF303" s="58"/>
    </row>
    <row r="304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61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</row>
    <row r="305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61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  <c r="AF305" s="58"/>
    </row>
    <row r="306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61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  <c r="AF306" s="58"/>
    </row>
    <row r="307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61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</row>
    <row r="308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61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  <c r="AE308" s="58"/>
      <c r="AF308" s="58"/>
    </row>
    <row r="309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61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  <c r="AF309" s="58"/>
    </row>
    <row r="310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61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</row>
    <row r="31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61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</row>
    <row r="312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61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  <c r="AF312" s="58"/>
    </row>
    <row r="313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61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</row>
    <row r="314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61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</row>
    <row r="315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61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</row>
    <row r="316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61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</row>
    <row r="317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61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</row>
    <row r="318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61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</row>
    <row r="319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61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</row>
    <row r="320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61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</row>
    <row r="32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61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</row>
    <row r="322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61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</row>
    <row r="323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61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</row>
    <row r="324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61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</row>
    <row r="325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61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  <c r="AF325" s="58"/>
    </row>
    <row r="326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61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  <c r="AE326" s="58"/>
      <c r="AF326" s="58"/>
    </row>
    <row r="327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61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  <c r="AE327" s="58"/>
      <c r="AF327" s="58"/>
    </row>
    <row r="328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61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  <c r="AF328" s="58"/>
    </row>
    <row r="329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61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</row>
    <row r="330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61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  <c r="AF330" s="58"/>
    </row>
    <row r="33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61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  <c r="AE331" s="58"/>
      <c r="AF331" s="58"/>
    </row>
    <row r="332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61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  <c r="AE332" s="58"/>
      <c r="AF332" s="58"/>
    </row>
    <row r="333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61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  <c r="AE333" s="58"/>
      <c r="AF333" s="58"/>
    </row>
    <row r="334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61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  <c r="AE334" s="58"/>
      <c r="AF334" s="58"/>
    </row>
    <row r="335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61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  <c r="AE335" s="58"/>
      <c r="AF335" s="58"/>
    </row>
    <row r="336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61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  <c r="AE336" s="58"/>
      <c r="AF336" s="58"/>
    </row>
    <row r="337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61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  <c r="AE337" s="58"/>
      <c r="AF337" s="58"/>
    </row>
    <row r="338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61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  <c r="AE338" s="58"/>
      <c r="AF338" s="58"/>
    </row>
    <row r="339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61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  <c r="AE339" s="58"/>
      <c r="AF339" s="58"/>
    </row>
    <row r="340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61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  <c r="AF340" s="58"/>
    </row>
    <row r="34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61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  <c r="AE341" s="58"/>
      <c r="AF341" s="58"/>
    </row>
    <row r="342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61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  <c r="AE342" s="58"/>
      <c r="AF342" s="58"/>
    </row>
    <row r="343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61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  <c r="AE343" s="58"/>
      <c r="AF343" s="58"/>
    </row>
    <row r="344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61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  <c r="AE344" s="58"/>
      <c r="AF344" s="58"/>
    </row>
    <row r="345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61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  <c r="AE345" s="58"/>
      <c r="AF345" s="58"/>
    </row>
    <row r="346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61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58"/>
      <c r="AF346" s="58"/>
    </row>
    <row r="347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61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  <c r="AE347" s="58"/>
      <c r="AF347" s="58"/>
    </row>
    <row r="348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61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</row>
    <row r="349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61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</row>
    <row r="350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61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  <c r="AE350" s="58"/>
      <c r="AF350" s="58"/>
    </row>
    <row r="35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61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</row>
    <row r="352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61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</row>
    <row r="353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61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</row>
    <row r="354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61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</row>
    <row r="355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61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</row>
    <row r="356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61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</row>
    <row r="357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61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</row>
    <row r="358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61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</row>
    <row r="359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61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</row>
    <row r="360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61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</row>
    <row r="36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61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</row>
    <row r="362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61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  <c r="AE362" s="58"/>
      <c r="AF362" s="58"/>
    </row>
    <row r="363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61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  <c r="AE363" s="58"/>
      <c r="AF363" s="58"/>
    </row>
    <row r="364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61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  <c r="AE364" s="58"/>
      <c r="AF364" s="58"/>
    </row>
    <row r="365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61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  <c r="AF365" s="58"/>
    </row>
    <row r="366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61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  <c r="AE366" s="58"/>
      <c r="AF366" s="58"/>
    </row>
    <row r="367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61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  <c r="AF367" s="58"/>
    </row>
    <row r="368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61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</row>
    <row r="369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61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  <c r="AE369" s="58"/>
      <c r="AF369" s="58"/>
    </row>
    <row r="370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61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  <c r="AF370" s="58"/>
    </row>
    <row r="37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61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  <c r="AF371" s="58"/>
    </row>
    <row r="372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61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  <c r="AE372" s="58"/>
      <c r="AF372" s="58"/>
    </row>
    <row r="373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61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  <c r="AF373" s="58"/>
    </row>
    <row r="374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61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  <c r="AE374" s="58"/>
      <c r="AF374" s="58"/>
    </row>
    <row r="375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61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  <c r="AF375" s="58"/>
    </row>
    <row r="376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61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  <c r="AF376" s="58"/>
    </row>
    <row r="377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61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</row>
    <row r="378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61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  <c r="AF378" s="58"/>
    </row>
    <row r="379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61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  <c r="AE379" s="58"/>
      <c r="AF379" s="58"/>
    </row>
    <row r="380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61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  <c r="AF380" s="58"/>
    </row>
    <row r="38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61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  <c r="AF381" s="58"/>
    </row>
    <row r="382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61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  <c r="AF382" s="58"/>
    </row>
    <row r="383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61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  <c r="AF383" s="58"/>
    </row>
    <row r="384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61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  <c r="AF384" s="58"/>
    </row>
    <row r="385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61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  <c r="AE385" s="58"/>
      <c r="AF385" s="58"/>
    </row>
    <row r="386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61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</row>
    <row r="387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61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</row>
    <row r="388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61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</row>
    <row r="389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61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</row>
    <row r="390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61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</row>
    <row r="39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61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</row>
    <row r="392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61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</row>
    <row r="393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61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</row>
    <row r="394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61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</row>
    <row r="395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61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</row>
    <row r="396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61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</row>
    <row r="397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61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</row>
    <row r="398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61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</row>
    <row r="399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61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</row>
    <row r="400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61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  <c r="AE400" s="58"/>
      <c r="AF400" s="58"/>
    </row>
    <row r="40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61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  <c r="AE401" s="58"/>
      <c r="AF401" s="58"/>
    </row>
    <row r="402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61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  <c r="AE402" s="58"/>
      <c r="AF402" s="58"/>
    </row>
    <row r="403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61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  <c r="AE403" s="58"/>
      <c r="AF403" s="58"/>
    </row>
    <row r="404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61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  <c r="AE404" s="58"/>
      <c r="AF404" s="58"/>
    </row>
    <row r="405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61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  <c r="AE405" s="58"/>
      <c r="AF405" s="58"/>
    </row>
    <row r="406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61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  <c r="AE406" s="58"/>
      <c r="AF406" s="58"/>
    </row>
    <row r="407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61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  <c r="AE407" s="58"/>
      <c r="AF407" s="58"/>
    </row>
    <row r="408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61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  <c r="AE408" s="58"/>
      <c r="AF408" s="58"/>
    </row>
    <row r="409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61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  <c r="AE409" s="58"/>
      <c r="AF409" s="58"/>
    </row>
    <row r="410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61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  <c r="AE410" s="58"/>
      <c r="AF410" s="58"/>
    </row>
    <row r="41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61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  <c r="AE411" s="58"/>
      <c r="AF411" s="58"/>
    </row>
    <row r="412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61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  <c r="AE412" s="58"/>
      <c r="AF412" s="58"/>
    </row>
    <row r="413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61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  <c r="AE413" s="58"/>
      <c r="AF413" s="58"/>
    </row>
    <row r="414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61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  <c r="AE414" s="58"/>
      <c r="AF414" s="58"/>
    </row>
    <row r="415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61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  <c r="AE415" s="58"/>
      <c r="AF415" s="58"/>
    </row>
    <row r="416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61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  <c r="AE416" s="58"/>
      <c r="AF416" s="58"/>
    </row>
    <row r="417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61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  <c r="AE417" s="58"/>
      <c r="AF417" s="58"/>
    </row>
    <row r="418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61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  <c r="AE418" s="58"/>
      <c r="AF418" s="58"/>
    </row>
    <row r="419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61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  <c r="AE419" s="58"/>
      <c r="AF419" s="58"/>
    </row>
    <row r="420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61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  <c r="AE420" s="58"/>
      <c r="AF420" s="58"/>
    </row>
    <row r="42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61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  <c r="AE421" s="58"/>
      <c r="AF421" s="58"/>
    </row>
    <row r="422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61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  <c r="AE422" s="58"/>
      <c r="AF422" s="58"/>
    </row>
    <row r="423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61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  <c r="AE423" s="58"/>
      <c r="AF423" s="58"/>
    </row>
    <row r="424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61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</row>
    <row r="425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61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</row>
    <row r="426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61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  <c r="AE426" s="58"/>
      <c r="AF426" s="58"/>
    </row>
    <row r="427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61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</row>
    <row r="428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61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</row>
    <row r="429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61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</row>
    <row r="430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61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</row>
    <row r="43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61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</row>
    <row r="432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61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</row>
    <row r="433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61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</row>
    <row r="434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61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</row>
    <row r="435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61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</row>
    <row r="436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61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</row>
    <row r="437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61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</row>
    <row r="438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61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  <c r="AE438" s="58"/>
      <c r="AF438" s="58"/>
    </row>
    <row r="439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61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  <c r="AE439" s="58"/>
      <c r="AF439" s="58"/>
    </row>
    <row r="440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61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  <c r="AE440" s="58"/>
      <c r="AF440" s="58"/>
    </row>
    <row r="44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61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  <c r="AE441" s="58"/>
      <c r="AF441" s="58"/>
    </row>
    <row r="442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61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  <c r="AE442" s="58"/>
      <c r="AF442" s="58"/>
    </row>
    <row r="443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61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  <c r="AE443" s="58"/>
      <c r="AF443" s="58"/>
    </row>
    <row r="444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61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  <c r="AE444" s="58"/>
      <c r="AF444" s="58"/>
    </row>
    <row r="445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61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  <c r="AE445" s="58"/>
      <c r="AF445" s="58"/>
    </row>
    <row r="446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61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  <c r="AE446" s="58"/>
      <c r="AF446" s="58"/>
    </row>
    <row r="447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61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  <c r="AE447" s="58"/>
      <c r="AF447" s="58"/>
    </row>
    <row r="448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61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  <c r="AE448" s="58"/>
      <c r="AF448" s="58"/>
    </row>
    <row r="449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61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  <c r="AE449" s="58"/>
      <c r="AF449" s="58"/>
    </row>
    <row r="450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61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  <c r="AE450" s="58"/>
      <c r="AF450" s="58"/>
    </row>
    <row r="45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61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  <c r="AE451" s="58"/>
      <c r="AF451" s="58"/>
    </row>
    <row r="452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61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  <c r="AE452" s="58"/>
      <c r="AF452" s="58"/>
    </row>
    <row r="453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61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  <c r="AE453" s="58"/>
      <c r="AF453" s="58"/>
    </row>
    <row r="454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61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  <c r="AE454" s="58"/>
      <c r="AF454" s="58"/>
    </row>
    <row r="455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61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  <c r="AE455" s="58"/>
      <c r="AF455" s="58"/>
    </row>
    <row r="456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61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  <c r="AE456" s="58"/>
      <c r="AF456" s="58"/>
    </row>
    <row r="457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61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  <c r="AE457" s="58"/>
      <c r="AF457" s="58"/>
    </row>
    <row r="458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61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  <c r="AE458" s="58"/>
      <c r="AF458" s="58"/>
    </row>
    <row r="459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61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  <c r="AE459" s="58"/>
      <c r="AF459" s="58"/>
    </row>
    <row r="460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61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  <c r="AE460" s="58"/>
      <c r="AF460" s="58"/>
    </row>
    <row r="46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61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  <c r="AE461" s="58"/>
      <c r="AF461" s="58"/>
    </row>
    <row r="462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61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</row>
    <row r="463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61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</row>
    <row r="464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61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  <c r="AE464" s="58"/>
      <c r="AF464" s="58"/>
    </row>
    <row r="465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61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</row>
    <row r="466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61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</row>
    <row r="467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61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</row>
    <row r="468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61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</row>
    <row r="469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61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</row>
    <row r="470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61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</row>
    <row r="47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61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</row>
    <row r="472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61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</row>
    <row r="473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61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</row>
    <row r="474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61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</row>
    <row r="475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61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</row>
    <row r="476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61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</row>
    <row r="477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61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  <c r="AE477" s="58"/>
      <c r="AF477" s="58"/>
    </row>
    <row r="478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61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  <c r="AE478" s="58"/>
      <c r="AF478" s="58"/>
    </row>
    <row r="479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61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  <c r="AE479" s="58"/>
      <c r="AF479" s="58"/>
    </row>
    <row r="480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61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  <c r="AE480" s="58"/>
      <c r="AF480" s="58"/>
    </row>
    <row r="48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61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  <c r="AE481" s="58"/>
      <c r="AF481" s="58"/>
    </row>
    <row r="482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61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  <c r="AE482" s="58"/>
      <c r="AF482" s="58"/>
    </row>
    <row r="483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61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</row>
    <row r="484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61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  <c r="AE484" s="58"/>
      <c r="AF484" s="58"/>
    </row>
    <row r="485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61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  <c r="AE485" s="58"/>
      <c r="AF485" s="58"/>
    </row>
    <row r="486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61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  <c r="AE486" s="58"/>
      <c r="AF486" s="58"/>
    </row>
    <row r="487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61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  <c r="AE487" s="58"/>
      <c r="AF487" s="58"/>
    </row>
    <row r="488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61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  <c r="AE488" s="58"/>
      <c r="AF488" s="58"/>
    </row>
    <row r="489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61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  <c r="AE489" s="58"/>
      <c r="AF489" s="58"/>
    </row>
    <row r="490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61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  <c r="AE490" s="58"/>
      <c r="AF490" s="58"/>
    </row>
    <row r="49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61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  <c r="AE491" s="58"/>
      <c r="AF491" s="58"/>
    </row>
    <row r="492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61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  <c r="AE492" s="58"/>
      <c r="AF492" s="58"/>
    </row>
    <row r="493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61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  <c r="AE493" s="58"/>
      <c r="AF493" s="58"/>
    </row>
    <row r="494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61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  <c r="AE494" s="58"/>
      <c r="AF494" s="58"/>
    </row>
    <row r="495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61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  <c r="AE495" s="58"/>
      <c r="AF495" s="58"/>
    </row>
    <row r="496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61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  <c r="AE496" s="58"/>
      <c r="AF496" s="58"/>
    </row>
    <row r="497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61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  <c r="AE497" s="58"/>
      <c r="AF497" s="58"/>
    </row>
    <row r="498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61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  <c r="AE498" s="58"/>
      <c r="AF498" s="58"/>
    </row>
    <row r="499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61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  <c r="AE499" s="58"/>
      <c r="AF499" s="58"/>
    </row>
    <row r="500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61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</row>
    <row r="50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61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</row>
    <row r="502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61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  <c r="AE502" s="58"/>
      <c r="AF502" s="58"/>
    </row>
    <row r="503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61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</row>
    <row r="504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61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</row>
    <row r="505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61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</row>
    <row r="506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61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</row>
    <row r="507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61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</row>
    <row r="508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61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</row>
    <row r="509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61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</row>
    <row r="510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61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</row>
    <row r="51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61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</row>
    <row r="512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61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</row>
    <row r="513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61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</row>
    <row r="514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61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  <c r="AE514" s="58"/>
      <c r="AF514" s="58"/>
    </row>
    <row r="515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61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  <c r="AE515" s="58"/>
      <c r="AF515" s="58"/>
    </row>
    <row r="516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61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  <c r="AE516" s="58"/>
      <c r="AF516" s="58"/>
    </row>
    <row r="517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61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  <c r="AE517" s="58"/>
      <c r="AF517" s="58"/>
    </row>
    <row r="518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61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  <c r="AE518" s="58"/>
      <c r="AF518" s="58"/>
    </row>
    <row r="519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61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  <c r="AE519" s="58"/>
      <c r="AF519" s="58"/>
    </row>
    <row r="520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61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  <c r="AF520" s="58"/>
    </row>
    <row r="52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61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  <c r="AE521" s="58"/>
      <c r="AF521" s="58"/>
    </row>
    <row r="522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61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  <c r="AE522" s="58"/>
      <c r="AF522" s="58"/>
    </row>
    <row r="523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61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  <c r="AE523" s="58"/>
      <c r="AF523" s="58"/>
    </row>
    <row r="524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61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  <c r="AE524" s="58"/>
      <c r="AF524" s="58"/>
    </row>
    <row r="525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61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  <c r="AE525" s="58"/>
      <c r="AF525" s="58"/>
    </row>
    <row r="526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61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  <c r="AE526" s="58"/>
      <c r="AF526" s="58"/>
    </row>
    <row r="527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61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  <c r="AE527" s="58"/>
      <c r="AF527" s="58"/>
    </row>
    <row r="528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61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  <c r="AF528" s="58"/>
    </row>
    <row r="529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61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  <c r="AE529" s="58"/>
      <c r="AF529" s="58"/>
    </row>
    <row r="530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61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  <c r="AE530" s="58"/>
      <c r="AF530" s="58"/>
    </row>
    <row r="53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61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  <c r="AE531" s="58"/>
      <c r="AF531" s="58"/>
    </row>
    <row r="532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61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  <c r="AE532" s="58"/>
      <c r="AF532" s="58"/>
    </row>
    <row r="533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61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  <c r="AE533" s="58"/>
      <c r="AF533" s="58"/>
    </row>
    <row r="534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61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  <c r="AE534" s="58"/>
      <c r="AF534" s="58"/>
    </row>
    <row r="535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61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  <c r="AE535" s="58"/>
      <c r="AF535" s="58"/>
    </row>
    <row r="536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61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</row>
    <row r="537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61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  <c r="AE537" s="58"/>
      <c r="AF537" s="58"/>
    </row>
    <row r="538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61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</row>
    <row r="539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61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</row>
    <row r="540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61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  <c r="AE540" s="58"/>
      <c r="AF540" s="58"/>
    </row>
    <row r="54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61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</row>
    <row r="542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61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</row>
    <row r="543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61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</row>
    <row r="544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61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</row>
    <row r="545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61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</row>
    <row r="546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61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</row>
    <row r="547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61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</row>
    <row r="548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61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</row>
    <row r="549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61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</row>
    <row r="550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61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</row>
    <row r="55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61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</row>
    <row r="552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61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  <c r="AE552" s="58"/>
      <c r="AF552" s="58"/>
    </row>
    <row r="553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61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  <c r="AE553" s="58"/>
      <c r="AF553" s="58"/>
    </row>
    <row r="554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61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  <c r="AE554" s="58"/>
      <c r="AF554" s="58"/>
    </row>
    <row r="555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61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  <c r="AE555" s="58"/>
      <c r="AF555" s="58"/>
    </row>
    <row r="556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61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  <c r="AF556" s="58"/>
    </row>
    <row r="557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61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  <c r="AE557" s="58"/>
      <c r="AF557" s="58"/>
    </row>
    <row r="558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61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  <c r="AE558" s="58"/>
      <c r="AF558" s="58"/>
    </row>
    <row r="559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61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  <c r="AE559" s="58"/>
      <c r="AF559" s="58"/>
    </row>
    <row r="560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61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  <c r="AE560" s="58"/>
      <c r="AF560" s="58"/>
    </row>
    <row r="56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61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  <c r="AE561" s="58"/>
      <c r="AF561" s="58"/>
    </row>
    <row r="562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61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  <c r="AE562" s="58"/>
      <c r="AF562" s="58"/>
    </row>
    <row r="563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61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  <c r="AE563" s="58"/>
      <c r="AF563" s="58"/>
    </row>
    <row r="564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61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  <c r="AE564" s="58"/>
      <c r="AF564" s="58"/>
    </row>
    <row r="565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61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  <c r="AE565" s="58"/>
      <c r="AF565" s="58"/>
    </row>
    <row r="566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61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  <c r="AE566" s="58"/>
      <c r="AF566" s="58"/>
    </row>
    <row r="567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61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  <c r="AE567" s="58"/>
      <c r="AF567" s="58"/>
    </row>
    <row r="568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61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  <c r="AE568" s="58"/>
      <c r="AF568" s="58"/>
    </row>
    <row r="569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61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  <c r="AE569" s="58"/>
      <c r="AF569" s="58"/>
    </row>
    <row r="570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61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  <c r="AE570" s="58"/>
      <c r="AF570" s="58"/>
    </row>
    <row r="57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61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  <c r="AE571" s="58"/>
      <c r="AF571" s="58"/>
    </row>
    <row r="572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61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  <c r="AE572" s="58"/>
      <c r="AF572" s="58"/>
    </row>
    <row r="573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61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  <c r="AE573" s="58"/>
      <c r="AF573" s="58"/>
    </row>
    <row r="574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61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  <c r="AE574" s="58"/>
      <c r="AF574" s="58"/>
    </row>
    <row r="575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61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  <c r="AE575" s="58"/>
      <c r="AF575" s="58"/>
    </row>
    <row r="576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61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</row>
    <row r="577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61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</row>
    <row r="578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61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  <c r="AE578" s="58"/>
      <c r="AF578" s="58"/>
    </row>
    <row r="579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61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</row>
    <row r="580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61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</row>
    <row r="58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61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</row>
    <row r="582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61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</row>
    <row r="583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61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</row>
    <row r="584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61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</row>
    <row r="585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61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</row>
    <row r="586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61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</row>
    <row r="587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61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</row>
    <row r="588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61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</row>
    <row r="589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61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</row>
    <row r="590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61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  <c r="AE590" s="58"/>
      <c r="AF590" s="58"/>
    </row>
    <row r="59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61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  <c r="AE591" s="58"/>
      <c r="AF591" s="58"/>
    </row>
    <row r="592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61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  <c r="AE592" s="58"/>
      <c r="AF592" s="58"/>
    </row>
    <row r="593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61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  <c r="AE593" s="58"/>
      <c r="AF593" s="58"/>
    </row>
    <row r="594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61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  <c r="AE594" s="58"/>
      <c r="AF594" s="58"/>
    </row>
    <row r="595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61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  <c r="AE595" s="58"/>
      <c r="AF595" s="58"/>
    </row>
    <row r="596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61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  <c r="AE596" s="58"/>
      <c r="AF596" s="58"/>
    </row>
    <row r="597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61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  <c r="AE597" s="58"/>
      <c r="AF597" s="58"/>
    </row>
    <row r="598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61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  <c r="AE598" s="58"/>
      <c r="AF598" s="58"/>
    </row>
    <row r="599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61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  <c r="AE599" s="58"/>
      <c r="AF599" s="58"/>
    </row>
    <row r="600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61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  <c r="AE600" s="58"/>
      <c r="AF600" s="58"/>
    </row>
    <row r="60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61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  <c r="AE601" s="58"/>
      <c r="AF601" s="58"/>
    </row>
    <row r="602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61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  <c r="AE602" s="58"/>
      <c r="AF602" s="58"/>
    </row>
    <row r="603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61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  <c r="AE603" s="58"/>
      <c r="AF603" s="58"/>
    </row>
    <row r="604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61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  <c r="AE604" s="58"/>
      <c r="AF604" s="58"/>
    </row>
    <row r="605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61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  <c r="AE605" s="58"/>
      <c r="AF605" s="58"/>
    </row>
    <row r="606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61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  <c r="AE606" s="58"/>
      <c r="AF606" s="58"/>
    </row>
    <row r="607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61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  <c r="AE607" s="58"/>
      <c r="AF607" s="58"/>
    </row>
    <row r="608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61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  <c r="AE608" s="58"/>
      <c r="AF608" s="58"/>
    </row>
    <row r="609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61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  <c r="AE609" s="58"/>
      <c r="AF609" s="58"/>
    </row>
    <row r="610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61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  <c r="AE610" s="58"/>
      <c r="AF610" s="58"/>
    </row>
    <row r="61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61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  <c r="AE611" s="58"/>
      <c r="AF611" s="58"/>
    </row>
    <row r="612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61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  <c r="AE612" s="58"/>
      <c r="AF612" s="58"/>
    </row>
    <row r="613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61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  <c r="AE613" s="58"/>
      <c r="AF613" s="58"/>
    </row>
    <row r="614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61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</row>
    <row r="615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61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</row>
    <row r="616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61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  <c r="AE616" s="58"/>
      <c r="AF616" s="58"/>
    </row>
    <row r="617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61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</row>
    <row r="618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61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</row>
    <row r="619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61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</row>
    <row r="620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61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</row>
    <row r="62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61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</row>
    <row r="622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61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</row>
    <row r="623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61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</row>
    <row r="624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61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</row>
    <row r="625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61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</row>
    <row r="626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61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</row>
    <row r="627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61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</row>
    <row r="628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61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  <c r="AE628" s="58"/>
      <c r="AF628" s="58"/>
    </row>
    <row r="629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61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  <c r="AE629" s="58"/>
      <c r="AF629" s="58"/>
    </row>
    <row r="630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61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  <c r="AE630" s="58"/>
      <c r="AF630" s="58"/>
    </row>
    <row r="63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61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  <c r="AE631" s="58"/>
      <c r="AF631" s="58"/>
    </row>
    <row r="632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61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  <c r="AE632" s="58"/>
      <c r="AF632" s="58"/>
    </row>
    <row r="633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61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  <c r="AE633" s="58"/>
      <c r="AF633" s="58"/>
    </row>
    <row r="634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61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  <c r="AE634" s="58"/>
      <c r="AF634" s="58"/>
    </row>
    <row r="635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61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  <c r="AE635" s="58"/>
      <c r="AF635" s="58"/>
    </row>
    <row r="636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61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  <c r="AE636" s="58"/>
      <c r="AF636" s="58"/>
    </row>
    <row r="637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61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  <c r="AE637" s="58"/>
      <c r="AF637" s="58"/>
    </row>
    <row r="638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61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  <c r="AE638" s="58"/>
      <c r="AF638" s="58"/>
    </row>
    <row r="639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61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  <c r="AE639" s="58"/>
      <c r="AF639" s="58"/>
    </row>
    <row r="640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61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  <c r="AE640" s="58"/>
      <c r="AF640" s="58"/>
    </row>
    <row r="64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61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  <c r="AE641" s="58"/>
      <c r="AF641" s="58"/>
    </row>
    <row r="642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61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</row>
    <row r="643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61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  <c r="AE643" s="58"/>
      <c r="AF643" s="58"/>
    </row>
    <row r="644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61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  <c r="AE644" s="58"/>
      <c r="AF644" s="58"/>
    </row>
    <row r="645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61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  <c r="AE645" s="58"/>
      <c r="AF645" s="58"/>
    </row>
    <row r="646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61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  <c r="AE646" s="58"/>
      <c r="AF646" s="58"/>
    </row>
    <row r="647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61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  <c r="AE647" s="58"/>
      <c r="AF647" s="58"/>
    </row>
    <row r="648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61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  <c r="AE648" s="58"/>
      <c r="AF648" s="58"/>
    </row>
    <row r="649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61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  <c r="AE649" s="58"/>
      <c r="AF649" s="58"/>
    </row>
    <row r="650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61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  <c r="AE650" s="58"/>
      <c r="AF650" s="58"/>
    </row>
    <row r="65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61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  <c r="AE651" s="58"/>
      <c r="AF651" s="58"/>
    </row>
    <row r="652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61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</row>
    <row r="653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61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</row>
    <row r="654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61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  <c r="AE654" s="58"/>
      <c r="AF654" s="58"/>
    </row>
    <row r="655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61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</row>
    <row r="656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61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</row>
    <row r="657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61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</row>
    <row r="658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61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</row>
    <row r="659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61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</row>
    <row r="660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61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</row>
    <row r="66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61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</row>
    <row r="662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61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</row>
    <row r="663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61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</row>
    <row r="664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61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</row>
    <row r="665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61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</row>
    <row r="666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61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8"/>
      <c r="AE666" s="58"/>
      <c r="AF666" s="58"/>
    </row>
    <row r="667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61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8"/>
      <c r="AE667" s="58"/>
      <c r="AF667" s="58"/>
    </row>
    <row r="668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61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  <c r="AE668" s="58"/>
      <c r="AF668" s="58"/>
    </row>
    <row r="669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61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  <c r="AE669" s="58"/>
      <c r="AF669" s="58"/>
    </row>
    <row r="670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61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  <c r="AE670" s="58"/>
      <c r="AF670" s="58"/>
    </row>
    <row r="67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61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  <c r="AE671" s="58"/>
      <c r="AF671" s="58"/>
    </row>
    <row r="672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61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8"/>
      <c r="AE672" s="58"/>
      <c r="AF672" s="58"/>
    </row>
    <row r="673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61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  <c r="AE673" s="58"/>
      <c r="AF673" s="58"/>
    </row>
    <row r="674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61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8"/>
      <c r="AE674" s="58"/>
      <c r="AF674" s="58"/>
    </row>
    <row r="675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61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8"/>
      <c r="AE675" s="58"/>
      <c r="AF675" s="58"/>
    </row>
    <row r="676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61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  <c r="AE676" s="58"/>
      <c r="AF676" s="58"/>
    </row>
    <row r="677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61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8"/>
      <c r="AE677" s="58"/>
      <c r="AF677" s="58"/>
    </row>
    <row r="678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61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58"/>
      <c r="AE678" s="58"/>
      <c r="AF678" s="58"/>
    </row>
    <row r="679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61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8"/>
      <c r="AE679" s="58"/>
      <c r="AF679" s="58"/>
    </row>
    <row r="680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61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58"/>
      <c r="AE680" s="58"/>
      <c r="AF680" s="58"/>
    </row>
    <row r="68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61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58"/>
      <c r="AE681" s="58"/>
      <c r="AF681" s="58"/>
    </row>
    <row r="682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61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8"/>
      <c r="AE682" s="58"/>
      <c r="AF682" s="58"/>
    </row>
    <row r="683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61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58"/>
      <c r="AE683" s="58"/>
      <c r="AF683" s="58"/>
    </row>
    <row r="684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61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8"/>
      <c r="AE684" s="58"/>
      <c r="AF684" s="58"/>
    </row>
    <row r="685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61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  <c r="AE685" s="58"/>
      <c r="AF685" s="58"/>
    </row>
    <row r="686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61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58"/>
      <c r="AE686" s="58"/>
      <c r="AF686" s="58"/>
    </row>
    <row r="687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61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8"/>
      <c r="AE687" s="58"/>
      <c r="AF687" s="58"/>
    </row>
    <row r="688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61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8"/>
      <c r="AE688" s="58"/>
      <c r="AF688" s="58"/>
    </row>
    <row r="689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61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  <c r="AE689" s="58"/>
      <c r="AF689" s="58"/>
    </row>
    <row r="690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61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  <c r="AF690" s="58"/>
    </row>
    <row r="69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61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  <c r="AF691" s="58"/>
    </row>
    <row r="692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61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  <c r="AD692" s="58"/>
      <c r="AE692" s="58"/>
      <c r="AF692" s="58"/>
    </row>
    <row r="693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61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  <c r="AF693" s="58"/>
    </row>
    <row r="694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61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  <c r="AF694" s="58"/>
    </row>
    <row r="695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61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</row>
    <row r="696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61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  <c r="AF696" s="58"/>
    </row>
    <row r="697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61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  <c r="AE697" s="58"/>
      <c r="AF697" s="58"/>
    </row>
    <row r="698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61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  <c r="AE698" s="58"/>
      <c r="AF698" s="58"/>
    </row>
    <row r="699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61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  <c r="AF699" s="58"/>
    </row>
    <row r="700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61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  <c r="AE700" s="58"/>
      <c r="AF700" s="58"/>
    </row>
    <row r="70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61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  <c r="AE701" s="58"/>
      <c r="AF701" s="58"/>
    </row>
    <row r="702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61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  <c r="AE702" s="58"/>
      <c r="AF702" s="58"/>
    </row>
    <row r="703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61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  <c r="AE703" s="58"/>
      <c r="AF703" s="58"/>
    </row>
    <row r="704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61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  <c r="AD704" s="58"/>
      <c r="AE704" s="58"/>
      <c r="AF704" s="58"/>
    </row>
    <row r="705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61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  <c r="AD705" s="58"/>
      <c r="AE705" s="58"/>
      <c r="AF705" s="58"/>
    </row>
    <row r="706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61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  <c r="AD706" s="58"/>
      <c r="AE706" s="58"/>
      <c r="AF706" s="58"/>
    </row>
    <row r="707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61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  <c r="AD707" s="58"/>
      <c r="AE707" s="58"/>
      <c r="AF707" s="58"/>
    </row>
    <row r="708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61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  <c r="AD708" s="58"/>
      <c r="AE708" s="58"/>
      <c r="AF708" s="58"/>
    </row>
    <row r="709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61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  <c r="AD709" s="58"/>
      <c r="AE709" s="58"/>
      <c r="AF709" s="58"/>
    </row>
    <row r="710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61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  <c r="AD710" s="58"/>
      <c r="AE710" s="58"/>
      <c r="AF710" s="58"/>
    </row>
    <row r="71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61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  <c r="AD711" s="58"/>
      <c r="AE711" s="58"/>
      <c r="AF711" s="58"/>
    </row>
    <row r="712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61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  <c r="AD712" s="58"/>
      <c r="AE712" s="58"/>
      <c r="AF712" s="58"/>
    </row>
    <row r="713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61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  <c r="AD713" s="58"/>
      <c r="AE713" s="58"/>
      <c r="AF713" s="58"/>
    </row>
    <row r="714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61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  <c r="AD714" s="58"/>
      <c r="AE714" s="58"/>
      <c r="AF714" s="58"/>
    </row>
    <row r="715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61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  <c r="AD715" s="58"/>
      <c r="AE715" s="58"/>
      <c r="AF715" s="58"/>
    </row>
    <row r="716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61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  <c r="AD716" s="58"/>
      <c r="AE716" s="58"/>
      <c r="AF716" s="58"/>
    </row>
    <row r="717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61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  <c r="AD717" s="58"/>
      <c r="AE717" s="58"/>
      <c r="AF717" s="58"/>
    </row>
    <row r="718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61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  <c r="AD718" s="58"/>
      <c r="AE718" s="58"/>
      <c r="AF718" s="58"/>
    </row>
    <row r="719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61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  <c r="AD719" s="58"/>
      <c r="AE719" s="58"/>
      <c r="AF719" s="58"/>
    </row>
    <row r="720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61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  <c r="AD720" s="58"/>
      <c r="AE720" s="58"/>
      <c r="AF720" s="58"/>
    </row>
    <row r="72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61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  <c r="AD721" s="58"/>
      <c r="AE721" s="58"/>
      <c r="AF721" s="58"/>
    </row>
    <row r="722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61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  <c r="AD722" s="58"/>
      <c r="AE722" s="58"/>
      <c r="AF722" s="58"/>
    </row>
    <row r="723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61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  <c r="AD723" s="58"/>
      <c r="AE723" s="58"/>
      <c r="AF723" s="58"/>
    </row>
    <row r="724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61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  <c r="AD724" s="58"/>
      <c r="AE724" s="58"/>
      <c r="AF724" s="58"/>
    </row>
    <row r="725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61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  <c r="AD725" s="58"/>
      <c r="AE725" s="58"/>
      <c r="AF725" s="58"/>
    </row>
    <row r="726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61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  <c r="AD726" s="58"/>
      <c r="AE726" s="58"/>
      <c r="AF726" s="58"/>
    </row>
    <row r="727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61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  <c r="AD727" s="58"/>
      <c r="AE727" s="58"/>
      <c r="AF727" s="58"/>
    </row>
    <row r="728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61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  <c r="AE728" s="58"/>
      <c r="AF728" s="58"/>
    </row>
    <row r="729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61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  <c r="AE729" s="58"/>
      <c r="AF729" s="58"/>
    </row>
    <row r="730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61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  <c r="AD730" s="58"/>
      <c r="AE730" s="58"/>
      <c r="AF730" s="58"/>
    </row>
    <row r="73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61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  <c r="AE731" s="58"/>
      <c r="AF731" s="58"/>
    </row>
    <row r="732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61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  <c r="AE732" s="58"/>
      <c r="AF732" s="58"/>
    </row>
    <row r="733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61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  <c r="AE733" s="58"/>
      <c r="AF733" s="58"/>
    </row>
    <row r="734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61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  <c r="AE734" s="58"/>
      <c r="AF734" s="58"/>
    </row>
    <row r="735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61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  <c r="AE735" s="58"/>
      <c r="AF735" s="58"/>
    </row>
    <row r="736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61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  <c r="AE736" s="58"/>
      <c r="AF736" s="58"/>
    </row>
    <row r="737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61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  <c r="AE737" s="58"/>
      <c r="AF737" s="58"/>
    </row>
    <row r="738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61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  <c r="AE738" s="58"/>
      <c r="AF738" s="58"/>
    </row>
    <row r="739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61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  <c r="AE739" s="58"/>
      <c r="AF739" s="58"/>
    </row>
    <row r="740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61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  <c r="AE740" s="58"/>
      <c r="AF740" s="58"/>
    </row>
    <row r="74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61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  <c r="AE741" s="58"/>
      <c r="AF741" s="58"/>
    </row>
    <row r="742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61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  <c r="AD742" s="58"/>
      <c r="AE742" s="58"/>
      <c r="AF742" s="58"/>
    </row>
    <row r="743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61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  <c r="AD743" s="58"/>
      <c r="AE743" s="58"/>
      <c r="AF743" s="58"/>
    </row>
    <row r="744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61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  <c r="AD744" s="58"/>
      <c r="AE744" s="58"/>
      <c r="AF744" s="58"/>
    </row>
    <row r="745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61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  <c r="AD745" s="58"/>
      <c r="AE745" s="58"/>
      <c r="AF745" s="58"/>
    </row>
    <row r="746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61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  <c r="AD746" s="58"/>
      <c r="AE746" s="58"/>
      <c r="AF746" s="58"/>
    </row>
    <row r="747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61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  <c r="AD747" s="58"/>
      <c r="AE747" s="58"/>
      <c r="AF747" s="58"/>
    </row>
    <row r="748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61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  <c r="AE748" s="58"/>
      <c r="AF748" s="58"/>
    </row>
    <row r="749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61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  <c r="AD749" s="58"/>
      <c r="AE749" s="58"/>
      <c r="AF749" s="58"/>
    </row>
    <row r="750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61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  <c r="AD750" s="58"/>
      <c r="AE750" s="58"/>
      <c r="AF750" s="58"/>
    </row>
    <row r="75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61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  <c r="AD751" s="58"/>
      <c r="AE751" s="58"/>
      <c r="AF751" s="58"/>
    </row>
    <row r="752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61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  <c r="AD752" s="58"/>
      <c r="AE752" s="58"/>
      <c r="AF752" s="58"/>
    </row>
    <row r="753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61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  <c r="AD753" s="58"/>
      <c r="AE753" s="58"/>
      <c r="AF753" s="58"/>
    </row>
    <row r="754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61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  <c r="AD754" s="58"/>
      <c r="AE754" s="58"/>
      <c r="AF754" s="58"/>
    </row>
    <row r="755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61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  <c r="AD755" s="58"/>
      <c r="AE755" s="58"/>
      <c r="AF755" s="58"/>
    </row>
    <row r="756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61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  <c r="AD756" s="58"/>
      <c r="AE756" s="58"/>
      <c r="AF756" s="58"/>
    </row>
    <row r="757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61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  <c r="AD757" s="58"/>
      <c r="AE757" s="58"/>
      <c r="AF757" s="58"/>
    </row>
    <row r="758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61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  <c r="AD758" s="58"/>
      <c r="AE758" s="58"/>
      <c r="AF758" s="58"/>
    </row>
    <row r="759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61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  <c r="AD759" s="58"/>
      <c r="AE759" s="58"/>
      <c r="AF759" s="58"/>
    </row>
    <row r="760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61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  <c r="AD760" s="58"/>
      <c r="AE760" s="58"/>
      <c r="AF760" s="58"/>
    </row>
    <row r="76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61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  <c r="AD761" s="58"/>
      <c r="AE761" s="58"/>
      <c r="AF761" s="58"/>
    </row>
    <row r="762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61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  <c r="AD762" s="58"/>
      <c r="AE762" s="58"/>
      <c r="AF762" s="58"/>
    </row>
    <row r="763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61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  <c r="AD763" s="58"/>
      <c r="AE763" s="58"/>
      <c r="AF763" s="58"/>
    </row>
    <row r="764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61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  <c r="AD764" s="58"/>
      <c r="AE764" s="58"/>
      <c r="AF764" s="58"/>
    </row>
    <row r="765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61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  <c r="AD765" s="58"/>
      <c r="AE765" s="58"/>
      <c r="AF765" s="58"/>
    </row>
    <row r="766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61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  <c r="AE766" s="58"/>
      <c r="AF766" s="58"/>
    </row>
    <row r="767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61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  <c r="AE767" s="58"/>
      <c r="AF767" s="58"/>
    </row>
    <row r="768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61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  <c r="AD768" s="58"/>
      <c r="AE768" s="58"/>
      <c r="AF768" s="58"/>
    </row>
    <row r="769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61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  <c r="AE769" s="58"/>
      <c r="AF769" s="58"/>
    </row>
    <row r="770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61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  <c r="AE770" s="58"/>
      <c r="AF770" s="58"/>
    </row>
    <row r="77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61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  <c r="AE771" s="58"/>
      <c r="AF771" s="58"/>
    </row>
    <row r="772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61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  <c r="AE772" s="58"/>
      <c r="AF772" s="58"/>
    </row>
    <row r="773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61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  <c r="AE773" s="58"/>
      <c r="AF773" s="58"/>
    </row>
    <row r="774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61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  <c r="AE774" s="58"/>
      <c r="AF774" s="58"/>
    </row>
    <row r="775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61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  <c r="AE775" s="58"/>
      <c r="AF775" s="58"/>
    </row>
    <row r="776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61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  <c r="AE776" s="58"/>
      <c r="AF776" s="58"/>
    </row>
    <row r="777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61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  <c r="AE777" s="58"/>
      <c r="AF777" s="58"/>
    </row>
    <row r="778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61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  <c r="AE778" s="58"/>
      <c r="AF778" s="58"/>
    </row>
    <row r="779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61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  <c r="AE779" s="58"/>
      <c r="AF779" s="58"/>
    </row>
    <row r="780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61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  <c r="AD780" s="58"/>
      <c r="AE780" s="58"/>
      <c r="AF780" s="58"/>
    </row>
    <row r="78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61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  <c r="AD781" s="58"/>
      <c r="AE781" s="58"/>
      <c r="AF781" s="58"/>
    </row>
    <row r="782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61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  <c r="AD782" s="58"/>
      <c r="AE782" s="58"/>
      <c r="AF782" s="58"/>
    </row>
    <row r="783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61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  <c r="AD783" s="58"/>
      <c r="AE783" s="58"/>
      <c r="AF783" s="58"/>
    </row>
    <row r="784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61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  <c r="AD784" s="58"/>
      <c r="AE784" s="58"/>
      <c r="AF784" s="58"/>
    </row>
    <row r="785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61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  <c r="AD785" s="58"/>
      <c r="AE785" s="58"/>
      <c r="AF785" s="58"/>
    </row>
    <row r="786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61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  <c r="AD786" s="58"/>
      <c r="AE786" s="58"/>
      <c r="AF786" s="58"/>
    </row>
    <row r="787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61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  <c r="AD787" s="58"/>
      <c r="AE787" s="58"/>
      <c r="AF787" s="58"/>
    </row>
    <row r="788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61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  <c r="AD788" s="58"/>
      <c r="AE788" s="58"/>
      <c r="AF788" s="58"/>
    </row>
    <row r="789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61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  <c r="AD789" s="58"/>
      <c r="AE789" s="58"/>
      <c r="AF789" s="58"/>
    </row>
    <row r="790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61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  <c r="AD790" s="58"/>
      <c r="AE790" s="58"/>
      <c r="AF790" s="58"/>
    </row>
    <row r="79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61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  <c r="AD791" s="58"/>
      <c r="AE791" s="58"/>
      <c r="AF791" s="58"/>
    </row>
    <row r="792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61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  <c r="AD792" s="58"/>
      <c r="AE792" s="58"/>
      <c r="AF792" s="58"/>
    </row>
    <row r="793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61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  <c r="AD793" s="58"/>
      <c r="AE793" s="58"/>
      <c r="AF793" s="58"/>
    </row>
    <row r="794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61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  <c r="AD794" s="58"/>
      <c r="AE794" s="58"/>
      <c r="AF794" s="58"/>
    </row>
    <row r="795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61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  <c r="AD795" s="58"/>
      <c r="AE795" s="58"/>
      <c r="AF795" s="58"/>
    </row>
    <row r="796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61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  <c r="AD796" s="58"/>
      <c r="AE796" s="58"/>
      <c r="AF796" s="58"/>
    </row>
    <row r="797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61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  <c r="AD797" s="58"/>
      <c r="AE797" s="58"/>
      <c r="AF797" s="58"/>
    </row>
    <row r="798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61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  <c r="AD798" s="58"/>
      <c r="AE798" s="58"/>
      <c r="AF798" s="58"/>
    </row>
    <row r="799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61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  <c r="AD799" s="58"/>
      <c r="AE799" s="58"/>
      <c r="AF799" s="58"/>
    </row>
    <row r="800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61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  <c r="AD800" s="58"/>
      <c r="AE800" s="58"/>
      <c r="AF800" s="58"/>
    </row>
    <row r="80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61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  <c r="AE801" s="58"/>
      <c r="AF801" s="58"/>
    </row>
    <row r="802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61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  <c r="AD802" s="58"/>
      <c r="AE802" s="58"/>
      <c r="AF802" s="58"/>
    </row>
    <row r="803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61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  <c r="AD803" s="58"/>
      <c r="AE803" s="58"/>
      <c r="AF803" s="58"/>
    </row>
    <row r="804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61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  <c r="AE804" s="58"/>
      <c r="AF804" s="58"/>
    </row>
    <row r="805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61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  <c r="AE805" s="58"/>
      <c r="AF805" s="58"/>
    </row>
    <row r="806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61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  <c r="AD806" s="58"/>
      <c r="AE806" s="58"/>
      <c r="AF806" s="58"/>
    </row>
    <row r="807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61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  <c r="AE807" s="58"/>
      <c r="AF807" s="58"/>
    </row>
    <row r="808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61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  <c r="AE808" s="58"/>
      <c r="AF808" s="58"/>
    </row>
    <row r="809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61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  <c r="AE809" s="58"/>
      <c r="AF809" s="58"/>
    </row>
    <row r="810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61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8"/>
      <c r="AE810" s="58"/>
      <c r="AF810" s="58"/>
    </row>
    <row r="81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61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  <c r="AE811" s="58"/>
      <c r="AF811" s="58"/>
    </row>
    <row r="812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61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  <c r="AE812" s="58"/>
      <c r="AF812" s="58"/>
    </row>
    <row r="813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61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  <c r="AE813" s="58"/>
      <c r="AF813" s="58"/>
    </row>
    <row r="814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61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  <c r="AE814" s="58"/>
      <c r="AF814" s="58"/>
    </row>
    <row r="815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61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  <c r="AE815" s="58"/>
      <c r="AF815" s="58"/>
    </row>
    <row r="816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61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  <c r="AE816" s="58"/>
      <c r="AF816" s="58"/>
    </row>
    <row r="817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61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  <c r="AE817" s="58"/>
      <c r="AF817" s="58"/>
    </row>
    <row r="818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61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  <c r="AD818" s="58"/>
      <c r="AE818" s="58"/>
      <c r="AF818" s="58"/>
    </row>
    <row r="819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61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  <c r="AD819" s="58"/>
      <c r="AE819" s="58"/>
      <c r="AF819" s="58"/>
    </row>
    <row r="820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61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  <c r="AD820" s="58"/>
      <c r="AE820" s="58"/>
      <c r="AF820" s="58"/>
    </row>
    <row r="82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61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  <c r="AD821" s="58"/>
      <c r="AE821" s="58"/>
      <c r="AF821" s="58"/>
    </row>
    <row r="822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61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  <c r="AD822" s="58"/>
      <c r="AE822" s="58"/>
      <c r="AF822" s="58"/>
    </row>
    <row r="823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61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  <c r="AD823" s="58"/>
      <c r="AE823" s="58"/>
      <c r="AF823" s="58"/>
    </row>
    <row r="824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61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  <c r="AD824" s="58"/>
      <c r="AE824" s="58"/>
      <c r="AF824" s="58"/>
    </row>
    <row r="825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61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  <c r="AD825" s="58"/>
      <c r="AE825" s="58"/>
      <c r="AF825" s="58"/>
    </row>
    <row r="826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61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  <c r="AD826" s="58"/>
      <c r="AE826" s="58"/>
      <c r="AF826" s="58"/>
    </row>
    <row r="827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61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  <c r="AD827" s="58"/>
      <c r="AE827" s="58"/>
      <c r="AF827" s="58"/>
    </row>
    <row r="828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61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  <c r="AD828" s="58"/>
      <c r="AE828" s="58"/>
      <c r="AF828" s="58"/>
    </row>
    <row r="829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61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  <c r="AD829" s="58"/>
      <c r="AE829" s="58"/>
      <c r="AF829" s="58"/>
    </row>
    <row r="830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61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  <c r="AD830" s="58"/>
      <c r="AE830" s="58"/>
      <c r="AF830" s="58"/>
    </row>
    <row r="83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61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  <c r="AD831" s="58"/>
      <c r="AE831" s="58"/>
      <c r="AF831" s="58"/>
    </row>
    <row r="832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61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  <c r="AD832" s="58"/>
      <c r="AE832" s="58"/>
      <c r="AF832" s="58"/>
    </row>
    <row r="833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61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  <c r="AD833" s="58"/>
      <c r="AE833" s="58"/>
      <c r="AF833" s="58"/>
    </row>
    <row r="834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61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  <c r="AD834" s="58"/>
      <c r="AE834" s="58"/>
      <c r="AF834" s="58"/>
    </row>
    <row r="835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61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  <c r="AD835" s="58"/>
      <c r="AE835" s="58"/>
      <c r="AF835" s="58"/>
    </row>
    <row r="836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61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  <c r="AD836" s="58"/>
      <c r="AE836" s="58"/>
      <c r="AF836" s="58"/>
    </row>
    <row r="837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61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  <c r="AD837" s="58"/>
      <c r="AE837" s="58"/>
      <c r="AF837" s="58"/>
    </row>
    <row r="838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61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  <c r="AD838" s="58"/>
      <c r="AE838" s="58"/>
      <c r="AF838" s="58"/>
    </row>
    <row r="839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61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  <c r="AD839" s="58"/>
      <c r="AE839" s="58"/>
      <c r="AF839" s="58"/>
    </row>
    <row r="840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61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  <c r="AD840" s="58"/>
      <c r="AE840" s="58"/>
      <c r="AF840" s="58"/>
    </row>
    <row r="84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61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  <c r="AD841" s="58"/>
      <c r="AE841" s="58"/>
      <c r="AF841" s="58"/>
    </row>
    <row r="842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61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  <c r="AD842" s="58"/>
      <c r="AE842" s="58"/>
      <c r="AF842" s="58"/>
    </row>
    <row r="843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61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  <c r="AD843" s="58"/>
      <c r="AE843" s="58"/>
      <c r="AF843" s="58"/>
    </row>
    <row r="844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61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  <c r="AD844" s="58"/>
      <c r="AE844" s="58"/>
      <c r="AF844" s="58"/>
    </row>
    <row r="845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61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  <c r="AD845" s="58"/>
      <c r="AE845" s="58"/>
      <c r="AF845" s="58"/>
    </row>
    <row r="846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61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  <c r="AD846" s="58"/>
      <c r="AE846" s="58"/>
      <c r="AF846" s="58"/>
    </row>
    <row r="847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61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  <c r="AD847" s="58"/>
      <c r="AE847" s="58"/>
      <c r="AF847" s="58"/>
    </row>
    <row r="848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61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  <c r="AD848" s="58"/>
      <c r="AE848" s="58"/>
      <c r="AF848" s="58"/>
    </row>
    <row r="849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61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  <c r="AD849" s="58"/>
      <c r="AE849" s="58"/>
      <c r="AF849" s="58"/>
    </row>
    <row r="850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61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  <c r="AD850" s="58"/>
      <c r="AE850" s="58"/>
      <c r="AF850" s="58"/>
    </row>
    <row r="85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61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  <c r="AD851" s="58"/>
      <c r="AE851" s="58"/>
      <c r="AF851" s="58"/>
    </row>
    <row r="852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61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  <c r="AD852" s="58"/>
      <c r="AE852" s="58"/>
      <c r="AF852" s="58"/>
    </row>
    <row r="853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61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  <c r="AD853" s="58"/>
      <c r="AE853" s="58"/>
      <c r="AF853" s="58"/>
    </row>
    <row r="854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61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  <c r="AE854" s="58"/>
      <c r="AF854" s="58"/>
    </row>
    <row r="855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61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  <c r="AD855" s="58"/>
      <c r="AE855" s="58"/>
      <c r="AF855" s="58"/>
    </row>
    <row r="856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61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  <c r="AD856" s="58"/>
      <c r="AE856" s="58"/>
      <c r="AF856" s="58"/>
    </row>
    <row r="857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61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  <c r="AD857" s="58"/>
      <c r="AE857" s="58"/>
      <c r="AF857" s="58"/>
    </row>
    <row r="858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61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  <c r="AD858" s="58"/>
      <c r="AE858" s="58"/>
      <c r="AF858" s="58"/>
    </row>
    <row r="859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61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  <c r="AD859" s="58"/>
      <c r="AE859" s="58"/>
      <c r="AF859" s="58"/>
    </row>
    <row r="860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61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  <c r="AD860" s="58"/>
      <c r="AE860" s="58"/>
      <c r="AF860" s="58"/>
    </row>
    <row r="86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61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  <c r="AD861" s="58"/>
      <c r="AE861" s="58"/>
      <c r="AF861" s="58"/>
    </row>
    <row r="862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61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  <c r="AD862" s="58"/>
      <c r="AE862" s="58"/>
      <c r="AF862" s="58"/>
    </row>
    <row r="863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61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  <c r="AD863" s="58"/>
      <c r="AE863" s="58"/>
      <c r="AF863" s="58"/>
    </row>
    <row r="864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61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  <c r="AD864" s="58"/>
      <c r="AE864" s="58"/>
      <c r="AF864" s="58"/>
    </row>
    <row r="865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61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  <c r="AD865" s="58"/>
      <c r="AE865" s="58"/>
      <c r="AF865" s="58"/>
    </row>
    <row r="866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61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  <c r="AD866" s="58"/>
      <c r="AE866" s="58"/>
      <c r="AF866" s="58"/>
    </row>
    <row r="867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61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  <c r="AD867" s="58"/>
      <c r="AE867" s="58"/>
      <c r="AF867" s="58"/>
    </row>
    <row r="868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61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  <c r="AD868" s="58"/>
      <c r="AE868" s="58"/>
      <c r="AF868" s="58"/>
    </row>
    <row r="869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61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  <c r="AD869" s="58"/>
      <c r="AE869" s="58"/>
      <c r="AF869" s="58"/>
    </row>
    <row r="870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61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  <c r="AD870" s="58"/>
      <c r="AE870" s="58"/>
      <c r="AF870" s="58"/>
    </row>
    <row r="87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61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  <c r="AD871" s="58"/>
      <c r="AE871" s="58"/>
      <c r="AF871" s="58"/>
    </row>
    <row r="872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61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  <c r="AD872" s="58"/>
      <c r="AE872" s="58"/>
      <c r="AF872" s="58"/>
    </row>
    <row r="873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61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  <c r="AD873" s="58"/>
      <c r="AE873" s="58"/>
      <c r="AF873" s="58"/>
    </row>
    <row r="874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61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  <c r="AD874" s="58"/>
      <c r="AE874" s="58"/>
      <c r="AF874" s="58"/>
    </row>
    <row r="875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61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  <c r="AD875" s="58"/>
      <c r="AE875" s="58"/>
      <c r="AF875" s="58"/>
    </row>
    <row r="876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61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  <c r="AD876" s="58"/>
      <c r="AE876" s="58"/>
      <c r="AF876" s="58"/>
    </row>
    <row r="877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61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  <c r="AD877" s="58"/>
      <c r="AE877" s="58"/>
      <c r="AF877" s="58"/>
    </row>
    <row r="878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61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  <c r="AD878" s="58"/>
      <c r="AE878" s="58"/>
      <c r="AF878" s="58"/>
    </row>
    <row r="879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61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  <c r="AD879" s="58"/>
      <c r="AE879" s="58"/>
      <c r="AF879" s="58"/>
    </row>
    <row r="880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61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  <c r="AD880" s="58"/>
      <c r="AE880" s="58"/>
      <c r="AF880" s="58"/>
    </row>
    <row r="88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61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  <c r="AD881" s="58"/>
      <c r="AE881" s="58"/>
      <c r="AF881" s="58"/>
    </row>
    <row r="882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61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  <c r="AD882" s="58"/>
      <c r="AE882" s="58"/>
      <c r="AF882" s="58"/>
    </row>
    <row r="883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61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  <c r="AD883" s="58"/>
      <c r="AE883" s="58"/>
      <c r="AF883" s="58"/>
    </row>
    <row r="884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61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  <c r="AD884" s="58"/>
      <c r="AE884" s="58"/>
      <c r="AF884" s="58"/>
    </row>
    <row r="885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61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  <c r="AD885" s="58"/>
      <c r="AE885" s="58"/>
      <c r="AF885" s="58"/>
    </row>
    <row r="886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61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  <c r="AD886" s="58"/>
      <c r="AE886" s="58"/>
      <c r="AF886" s="58"/>
    </row>
    <row r="887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61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  <c r="AD887" s="58"/>
      <c r="AE887" s="58"/>
      <c r="AF887" s="58"/>
    </row>
    <row r="888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61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  <c r="AD888" s="58"/>
      <c r="AE888" s="58"/>
      <c r="AF888" s="58"/>
    </row>
    <row r="889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61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  <c r="AD889" s="58"/>
      <c r="AE889" s="58"/>
      <c r="AF889" s="58"/>
    </row>
    <row r="890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61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  <c r="AD890" s="58"/>
      <c r="AE890" s="58"/>
      <c r="AF890" s="58"/>
    </row>
    <row r="89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61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  <c r="AD891" s="58"/>
      <c r="AE891" s="58"/>
      <c r="AF891" s="58"/>
    </row>
    <row r="892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61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  <c r="AD892" s="58"/>
      <c r="AE892" s="58"/>
      <c r="AF892" s="58"/>
    </row>
    <row r="893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61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  <c r="AD893" s="58"/>
      <c r="AE893" s="58"/>
      <c r="AF893" s="58"/>
    </row>
    <row r="894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61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  <c r="AD894" s="58"/>
      <c r="AE894" s="58"/>
      <c r="AF894" s="58"/>
    </row>
    <row r="895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61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  <c r="AD895" s="58"/>
      <c r="AE895" s="58"/>
      <c r="AF895" s="58"/>
    </row>
    <row r="896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61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  <c r="AD896" s="58"/>
      <c r="AE896" s="58"/>
      <c r="AF896" s="58"/>
    </row>
    <row r="897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61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  <c r="AD897" s="58"/>
      <c r="AE897" s="58"/>
      <c r="AF897" s="58"/>
    </row>
    <row r="898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61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  <c r="AD898" s="58"/>
      <c r="AE898" s="58"/>
      <c r="AF898" s="58"/>
    </row>
    <row r="899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61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  <c r="AD899" s="58"/>
      <c r="AE899" s="58"/>
      <c r="AF899" s="58"/>
    </row>
    <row r="900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61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  <c r="AD900" s="58"/>
      <c r="AE900" s="58"/>
      <c r="AF900" s="58"/>
    </row>
    <row r="90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61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  <c r="AD901" s="58"/>
      <c r="AE901" s="58"/>
      <c r="AF901" s="58"/>
    </row>
    <row r="902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61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  <c r="AD902" s="58"/>
      <c r="AE902" s="58"/>
      <c r="AF902" s="58"/>
    </row>
    <row r="903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61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  <c r="AD903" s="58"/>
      <c r="AE903" s="58"/>
      <c r="AF903" s="58"/>
    </row>
    <row r="904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61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  <c r="AD904" s="58"/>
      <c r="AE904" s="58"/>
      <c r="AF904" s="58"/>
    </row>
    <row r="905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61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  <c r="AD905" s="58"/>
      <c r="AE905" s="58"/>
      <c r="AF905" s="58"/>
    </row>
    <row r="906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61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  <c r="AD906" s="58"/>
      <c r="AE906" s="58"/>
      <c r="AF906" s="58"/>
    </row>
    <row r="907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61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  <c r="AD907" s="58"/>
      <c r="AE907" s="58"/>
      <c r="AF907" s="58"/>
    </row>
    <row r="908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61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  <c r="AD908" s="58"/>
      <c r="AE908" s="58"/>
      <c r="AF908" s="58"/>
    </row>
    <row r="909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61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  <c r="AD909" s="58"/>
      <c r="AE909" s="58"/>
      <c r="AF909" s="58"/>
    </row>
    <row r="910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61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  <c r="AD910" s="58"/>
      <c r="AE910" s="58"/>
      <c r="AF910" s="58"/>
    </row>
    <row r="91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61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  <c r="AD911" s="58"/>
      <c r="AE911" s="58"/>
      <c r="AF911" s="58"/>
    </row>
    <row r="912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61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  <c r="AD912" s="58"/>
      <c r="AE912" s="58"/>
      <c r="AF912" s="58"/>
    </row>
    <row r="913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61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  <c r="AD913" s="58"/>
      <c r="AE913" s="58"/>
      <c r="AF913" s="58"/>
    </row>
    <row r="914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61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  <c r="AD914" s="58"/>
      <c r="AE914" s="58"/>
      <c r="AF914" s="58"/>
    </row>
    <row r="915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61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  <c r="AD915" s="58"/>
      <c r="AE915" s="58"/>
      <c r="AF915" s="58"/>
    </row>
    <row r="916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61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  <c r="AD916" s="58"/>
      <c r="AE916" s="58"/>
      <c r="AF916" s="58"/>
    </row>
    <row r="917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61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  <c r="AD917" s="58"/>
      <c r="AE917" s="58"/>
      <c r="AF917" s="58"/>
    </row>
    <row r="918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61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  <c r="AD918" s="58"/>
      <c r="AE918" s="58"/>
      <c r="AF918" s="58"/>
    </row>
    <row r="919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61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  <c r="AD919" s="58"/>
      <c r="AE919" s="58"/>
      <c r="AF919" s="58"/>
    </row>
    <row r="920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61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  <c r="AD920" s="58"/>
      <c r="AE920" s="58"/>
      <c r="AF920" s="58"/>
    </row>
    <row r="92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61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  <c r="AD921" s="58"/>
      <c r="AE921" s="58"/>
      <c r="AF921" s="58"/>
    </row>
    <row r="922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61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  <c r="AD922" s="58"/>
      <c r="AE922" s="58"/>
      <c r="AF922" s="58"/>
    </row>
    <row r="923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61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  <c r="AD923" s="58"/>
      <c r="AE923" s="58"/>
      <c r="AF923" s="58"/>
    </row>
    <row r="924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61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  <c r="AD924" s="58"/>
      <c r="AE924" s="58"/>
      <c r="AF924" s="58"/>
    </row>
    <row r="925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61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  <c r="AD925" s="58"/>
      <c r="AE925" s="58"/>
      <c r="AF925" s="58"/>
    </row>
    <row r="926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61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  <c r="AD926" s="58"/>
      <c r="AE926" s="58"/>
      <c r="AF926" s="58"/>
    </row>
    <row r="927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61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  <c r="AD927" s="58"/>
      <c r="AE927" s="58"/>
      <c r="AF927" s="58"/>
    </row>
    <row r="928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61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  <c r="AD928" s="58"/>
      <c r="AE928" s="58"/>
      <c r="AF928" s="58"/>
    </row>
    <row r="929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61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  <c r="AD929" s="58"/>
      <c r="AE929" s="58"/>
      <c r="AF929" s="58"/>
    </row>
    <row r="930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61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  <c r="AD930" s="58"/>
      <c r="AE930" s="58"/>
      <c r="AF930" s="58"/>
    </row>
    <row r="93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61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  <c r="AD931" s="58"/>
      <c r="AE931" s="58"/>
      <c r="AF931" s="58"/>
    </row>
    <row r="932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61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  <c r="AD932" s="58"/>
      <c r="AE932" s="58"/>
      <c r="AF932" s="58"/>
    </row>
    <row r="933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61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  <c r="AD933" s="58"/>
      <c r="AE933" s="58"/>
      <c r="AF933" s="58"/>
    </row>
    <row r="934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61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  <c r="AD934" s="58"/>
      <c r="AE934" s="58"/>
      <c r="AF934" s="58"/>
    </row>
    <row r="935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61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  <c r="AD935" s="58"/>
      <c r="AE935" s="58"/>
      <c r="AF935" s="58"/>
    </row>
    <row r="936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61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  <c r="AD936" s="58"/>
      <c r="AE936" s="58"/>
      <c r="AF936" s="58"/>
    </row>
    <row r="937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61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  <c r="AD937" s="58"/>
      <c r="AE937" s="58"/>
      <c r="AF937" s="58"/>
    </row>
    <row r="938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61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  <c r="AD938" s="58"/>
      <c r="AE938" s="58"/>
      <c r="AF938" s="58"/>
    </row>
    <row r="939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61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  <c r="AD939" s="58"/>
      <c r="AE939" s="58"/>
      <c r="AF939" s="58"/>
    </row>
    <row r="940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61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  <c r="AD940" s="58"/>
      <c r="AE940" s="58"/>
      <c r="AF940" s="58"/>
    </row>
    <row r="94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61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  <c r="AD941" s="58"/>
      <c r="AE941" s="58"/>
      <c r="AF941" s="58"/>
    </row>
    <row r="942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61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  <c r="AD942" s="58"/>
      <c r="AE942" s="58"/>
      <c r="AF942" s="58"/>
    </row>
    <row r="943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61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  <c r="AD943" s="58"/>
      <c r="AE943" s="58"/>
      <c r="AF943" s="58"/>
    </row>
    <row r="944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61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  <c r="AD944" s="58"/>
      <c r="AE944" s="58"/>
      <c r="AF944" s="58"/>
    </row>
    <row r="945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61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  <c r="AD945" s="58"/>
      <c r="AE945" s="58"/>
      <c r="AF945" s="58"/>
    </row>
    <row r="946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61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  <c r="AD946" s="58"/>
      <c r="AE946" s="58"/>
      <c r="AF946" s="58"/>
    </row>
    <row r="947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61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  <c r="AD947" s="58"/>
      <c r="AE947" s="58"/>
      <c r="AF947" s="58"/>
    </row>
    <row r="948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61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  <c r="AD948" s="58"/>
      <c r="AE948" s="58"/>
      <c r="AF948" s="58"/>
    </row>
    <row r="949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61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  <c r="AD949" s="58"/>
      <c r="AE949" s="58"/>
      <c r="AF949" s="58"/>
    </row>
    <row r="950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61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  <c r="AD950" s="58"/>
      <c r="AE950" s="58"/>
      <c r="AF950" s="58"/>
    </row>
    <row r="95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61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  <c r="AD951" s="58"/>
      <c r="AE951" s="58"/>
      <c r="AF951" s="58"/>
    </row>
    <row r="952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61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  <c r="AD952" s="58"/>
      <c r="AE952" s="58"/>
      <c r="AF952" s="58"/>
    </row>
    <row r="953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61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  <c r="AD953" s="58"/>
      <c r="AE953" s="58"/>
      <c r="AF953" s="58"/>
    </row>
    <row r="954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61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  <c r="AD954" s="58"/>
      <c r="AE954" s="58"/>
      <c r="AF954" s="58"/>
    </row>
    <row r="955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61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  <c r="AD955" s="58"/>
      <c r="AE955" s="58"/>
      <c r="AF955" s="58"/>
    </row>
    <row r="956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61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  <c r="AD956" s="58"/>
      <c r="AE956" s="58"/>
      <c r="AF956" s="58"/>
    </row>
    <row r="957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61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  <c r="AD957" s="58"/>
      <c r="AE957" s="58"/>
      <c r="AF957" s="58"/>
    </row>
    <row r="958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61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  <c r="AD958" s="58"/>
      <c r="AE958" s="58"/>
      <c r="AF958" s="58"/>
    </row>
    <row r="959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61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  <c r="AD959" s="58"/>
      <c r="AE959" s="58"/>
      <c r="AF959" s="58"/>
    </row>
    <row r="960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61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8"/>
      <c r="AE960" s="58"/>
      <c r="AF960" s="58"/>
    </row>
    <row r="96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61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  <c r="AD961" s="58"/>
      <c r="AE961" s="58"/>
      <c r="AF961" s="58"/>
    </row>
    <row r="962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61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  <c r="AD962" s="58"/>
      <c r="AE962" s="58"/>
      <c r="AF962" s="58"/>
    </row>
    <row r="963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61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  <c r="AD963" s="58"/>
      <c r="AE963" s="58"/>
      <c r="AF963" s="58"/>
    </row>
    <row r="964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61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  <c r="AD964" s="58"/>
      <c r="AE964" s="58"/>
      <c r="AF964" s="58"/>
    </row>
    <row r="965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61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  <c r="AD965" s="58"/>
      <c r="AE965" s="58"/>
      <c r="AF965" s="58"/>
    </row>
    <row r="966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61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  <c r="AD966" s="58"/>
      <c r="AE966" s="58"/>
      <c r="AF966" s="58"/>
    </row>
    <row r="967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61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  <c r="AD967" s="58"/>
      <c r="AE967" s="58"/>
      <c r="AF967" s="58"/>
    </row>
    <row r="968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61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  <c r="AD968" s="58"/>
      <c r="AE968" s="58"/>
      <c r="AF968" s="58"/>
    </row>
    <row r="969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61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  <c r="AD969" s="58"/>
      <c r="AE969" s="58"/>
      <c r="AF969" s="58"/>
    </row>
    <row r="970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61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  <c r="AD970" s="58"/>
      <c r="AE970" s="58"/>
      <c r="AF970" s="58"/>
    </row>
    <row r="97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61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  <c r="AD971" s="58"/>
      <c r="AE971" s="58"/>
      <c r="AF971" s="58"/>
    </row>
    <row r="972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61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  <c r="AD972" s="58"/>
      <c r="AE972" s="58"/>
      <c r="AF972" s="58"/>
    </row>
    <row r="973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61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  <c r="AD973" s="58"/>
      <c r="AE973" s="58"/>
      <c r="AF973" s="58"/>
    </row>
    <row r="974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61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  <c r="AD974" s="58"/>
      <c r="AE974" s="58"/>
      <c r="AF974" s="58"/>
    </row>
    <row r="975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61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  <c r="AD975" s="58"/>
      <c r="AE975" s="58"/>
      <c r="AF975" s="58"/>
    </row>
    <row r="976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61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  <c r="AD976" s="58"/>
      <c r="AE976" s="58"/>
      <c r="AF976" s="58"/>
    </row>
    <row r="977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61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  <c r="AD977" s="58"/>
      <c r="AE977" s="58"/>
      <c r="AF977" s="58"/>
    </row>
    <row r="978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61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  <c r="AD978" s="58"/>
      <c r="AE978" s="58"/>
      <c r="AF978" s="58"/>
    </row>
    <row r="979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61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  <c r="AD979" s="58"/>
      <c r="AE979" s="58"/>
      <c r="AF979" s="58"/>
    </row>
    <row r="980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61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  <c r="AD980" s="58"/>
      <c r="AE980" s="58"/>
      <c r="AF980" s="58"/>
    </row>
    <row r="98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61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  <c r="AD981" s="58"/>
      <c r="AE981" s="58"/>
      <c r="AF981" s="58"/>
    </row>
    <row r="982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61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  <c r="AD982" s="58"/>
      <c r="AE982" s="58"/>
      <c r="AF982" s="58"/>
    </row>
    <row r="983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61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  <c r="AD983" s="58"/>
      <c r="AE983" s="58"/>
      <c r="AF983" s="58"/>
    </row>
    <row r="984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61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  <c r="AD984" s="58"/>
      <c r="AE984" s="58"/>
      <c r="AF984" s="58"/>
    </row>
    <row r="985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61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  <c r="AD985" s="58"/>
      <c r="AE985" s="58"/>
      <c r="AF985" s="58"/>
    </row>
    <row r="986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61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  <c r="AD986" s="58"/>
      <c r="AE986" s="58"/>
      <c r="AF986" s="58"/>
    </row>
    <row r="987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61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  <c r="AD987" s="58"/>
      <c r="AE987" s="58"/>
      <c r="AF987" s="58"/>
    </row>
    <row r="988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61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  <c r="AD988" s="58"/>
      <c r="AE988" s="58"/>
      <c r="AF988" s="58"/>
    </row>
    <row r="989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61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  <c r="AD989" s="58"/>
      <c r="AE989" s="58"/>
      <c r="AF989" s="58"/>
    </row>
    <row r="990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61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  <c r="AD990" s="58"/>
      <c r="AE990" s="58"/>
      <c r="AF990" s="58"/>
    </row>
    <row r="99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61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  <c r="AD991" s="58"/>
      <c r="AE991" s="58"/>
      <c r="AF991" s="58"/>
    </row>
    <row r="992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61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  <c r="AD992" s="58"/>
      <c r="AE992" s="58"/>
      <c r="AF992" s="58"/>
    </row>
    <row r="993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61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  <c r="AD993" s="58"/>
      <c r="AE993" s="58"/>
      <c r="AF993" s="58"/>
    </row>
    <row r="994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61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  <c r="AD994" s="58"/>
      <c r="AE994" s="58"/>
      <c r="AF994" s="58"/>
    </row>
    <row r="995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61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  <c r="AD995" s="58"/>
      <c r="AE995" s="58"/>
      <c r="AF995" s="58"/>
    </row>
    <row r="996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61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  <c r="AD996" s="58"/>
      <c r="AE996" s="58"/>
      <c r="AF996" s="58"/>
    </row>
    <row r="997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61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  <c r="AD997" s="58"/>
      <c r="AE997" s="58"/>
      <c r="AF997" s="58"/>
    </row>
  </sheetData>
  <mergeCells count="5">
    <mergeCell ref="A2:L3"/>
    <mergeCell ref="A5:A21"/>
    <mergeCell ref="B6:B14"/>
    <mergeCell ref="B15:B18"/>
    <mergeCell ref="B19:B20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1.0"/>
    <col customWidth="1" min="3" max="3" width="16.63"/>
  </cols>
  <sheetData>
    <row r="1">
      <c r="A1" s="71" t="s">
        <v>159</v>
      </c>
      <c r="B1" s="72" t="s">
        <v>160</v>
      </c>
    </row>
    <row r="2">
      <c r="A2" s="43" t="s">
        <v>161</v>
      </c>
      <c r="B2" s="34">
        <v>10.0</v>
      </c>
    </row>
    <row r="3">
      <c r="A3" s="43" t="s">
        <v>162</v>
      </c>
      <c r="B3" s="34">
        <v>7.0</v>
      </c>
    </row>
    <row r="4">
      <c r="A4" s="43" t="s">
        <v>163</v>
      </c>
      <c r="B4" s="34">
        <v>8.0</v>
      </c>
    </row>
    <row r="5">
      <c r="A5" s="43" t="s">
        <v>164</v>
      </c>
      <c r="B5" s="34">
        <v>9.0</v>
      </c>
    </row>
    <row r="6">
      <c r="A6" s="43" t="s">
        <v>165</v>
      </c>
      <c r="B6" s="34">
        <v>5.0</v>
      </c>
    </row>
    <row r="7">
      <c r="A7" s="43" t="s">
        <v>166</v>
      </c>
      <c r="B7" s="34">
        <v>6.0</v>
      </c>
    </row>
    <row r="8">
      <c r="A8" s="43" t="s">
        <v>167</v>
      </c>
      <c r="B8" s="34">
        <v>4.0</v>
      </c>
      <c r="C8" s="7" t="s">
        <v>168</v>
      </c>
    </row>
    <row r="9">
      <c r="A9" s="43" t="s">
        <v>169</v>
      </c>
      <c r="B9" s="34">
        <v>3.0</v>
      </c>
    </row>
    <row r="10">
      <c r="A10" s="43" t="s">
        <v>170</v>
      </c>
      <c r="B10" s="34">
        <v>1.0</v>
      </c>
    </row>
    <row r="11">
      <c r="A11" s="73" t="s">
        <v>171</v>
      </c>
      <c r="B11" s="74">
        <v>2.0</v>
      </c>
      <c r="C11" s="7" t="s">
        <v>172</v>
      </c>
    </row>
    <row r="12">
      <c r="A12" s="43" t="s">
        <v>173</v>
      </c>
      <c r="B12" s="34">
        <v>11.0</v>
      </c>
    </row>
    <row r="13">
      <c r="B13" s="58"/>
    </row>
    <row r="14">
      <c r="B14" s="58"/>
    </row>
    <row r="15">
      <c r="B15" s="58"/>
    </row>
    <row r="16">
      <c r="B16" s="58"/>
    </row>
    <row r="17">
      <c r="B17" s="58"/>
    </row>
    <row r="18">
      <c r="B18" s="58"/>
    </row>
    <row r="19">
      <c r="B19" s="58"/>
    </row>
    <row r="20">
      <c r="B20" s="58"/>
    </row>
    <row r="21">
      <c r="B21" s="58"/>
    </row>
    <row r="22">
      <c r="B22" s="58"/>
    </row>
    <row r="23">
      <c r="B23" s="58"/>
    </row>
    <row r="24">
      <c r="B24" s="58"/>
    </row>
    <row r="25">
      <c r="B25" s="58"/>
    </row>
    <row r="26">
      <c r="B26" s="58"/>
    </row>
    <row r="27">
      <c r="B27" s="58"/>
    </row>
    <row r="28">
      <c r="B28" s="58"/>
    </row>
    <row r="29">
      <c r="B29" s="58"/>
    </row>
    <row r="30">
      <c r="B30" s="58"/>
    </row>
    <row r="31">
      <c r="B31" s="58"/>
    </row>
    <row r="32">
      <c r="B32" s="58"/>
    </row>
    <row r="33">
      <c r="B33" s="58"/>
    </row>
    <row r="34">
      <c r="B34" s="58"/>
    </row>
    <row r="35">
      <c r="B35" s="58"/>
    </row>
    <row r="36">
      <c r="B36" s="58"/>
    </row>
    <row r="37">
      <c r="B37" s="58"/>
    </row>
    <row r="38">
      <c r="B38" s="58"/>
    </row>
    <row r="39">
      <c r="B39" s="58"/>
    </row>
    <row r="40">
      <c r="B40" s="58"/>
    </row>
    <row r="41">
      <c r="B41" s="58"/>
    </row>
    <row r="42">
      <c r="B42" s="58"/>
    </row>
    <row r="43">
      <c r="B43" s="58"/>
    </row>
    <row r="44">
      <c r="B44" s="58"/>
    </row>
    <row r="45">
      <c r="B45" s="58"/>
    </row>
    <row r="46">
      <c r="B46" s="58"/>
    </row>
    <row r="47">
      <c r="B47" s="58"/>
    </row>
    <row r="48">
      <c r="B48" s="58"/>
    </row>
    <row r="49">
      <c r="B49" s="58"/>
    </row>
    <row r="50">
      <c r="B50" s="58"/>
    </row>
    <row r="51">
      <c r="B51" s="58"/>
    </row>
    <row r="52">
      <c r="B52" s="58"/>
    </row>
    <row r="53">
      <c r="B53" s="58"/>
    </row>
    <row r="54">
      <c r="B54" s="58"/>
    </row>
    <row r="55">
      <c r="B55" s="58"/>
    </row>
    <row r="56">
      <c r="B56" s="58"/>
    </row>
    <row r="57">
      <c r="B57" s="58"/>
    </row>
    <row r="58">
      <c r="B58" s="58"/>
    </row>
    <row r="59">
      <c r="B59" s="58"/>
    </row>
    <row r="60">
      <c r="B60" s="58"/>
    </row>
    <row r="61">
      <c r="B61" s="58"/>
    </row>
    <row r="62">
      <c r="B62" s="58"/>
    </row>
    <row r="63">
      <c r="B63" s="58"/>
    </row>
    <row r="64">
      <c r="B64" s="58"/>
    </row>
    <row r="65">
      <c r="B65" s="58"/>
    </row>
    <row r="66">
      <c r="B66" s="58"/>
    </row>
    <row r="67">
      <c r="B67" s="58"/>
    </row>
    <row r="68">
      <c r="B68" s="58"/>
    </row>
    <row r="69">
      <c r="B69" s="58"/>
    </row>
    <row r="70">
      <c r="B70" s="58"/>
    </row>
    <row r="71">
      <c r="B71" s="58"/>
    </row>
    <row r="72">
      <c r="B72" s="58"/>
    </row>
    <row r="73">
      <c r="B73" s="58"/>
    </row>
    <row r="74">
      <c r="B74" s="58"/>
    </row>
    <row r="75">
      <c r="B75" s="58"/>
    </row>
    <row r="76">
      <c r="B76" s="58"/>
    </row>
    <row r="77">
      <c r="B77" s="58"/>
    </row>
    <row r="78">
      <c r="B78" s="58"/>
    </row>
    <row r="79">
      <c r="B79" s="58"/>
    </row>
    <row r="80">
      <c r="B80" s="58"/>
    </row>
    <row r="81">
      <c r="B81" s="58"/>
    </row>
    <row r="82">
      <c r="B82" s="58"/>
    </row>
    <row r="83">
      <c r="B83" s="58"/>
    </row>
    <row r="84">
      <c r="B84" s="58"/>
    </row>
    <row r="85">
      <c r="B85" s="58"/>
    </row>
    <row r="86">
      <c r="B86" s="58"/>
    </row>
    <row r="87">
      <c r="B87" s="58"/>
    </row>
    <row r="88">
      <c r="B88" s="58"/>
    </row>
    <row r="89">
      <c r="B89" s="58"/>
    </row>
    <row r="90">
      <c r="B90" s="58"/>
    </row>
    <row r="91">
      <c r="B91" s="58"/>
    </row>
    <row r="92">
      <c r="B92" s="58"/>
    </row>
    <row r="93">
      <c r="B93" s="58"/>
    </row>
    <row r="94">
      <c r="B94" s="58"/>
    </row>
    <row r="95">
      <c r="B95" s="58"/>
    </row>
    <row r="96">
      <c r="B96" s="58"/>
    </row>
    <row r="97">
      <c r="B97" s="58"/>
    </row>
    <row r="98">
      <c r="B98" s="58"/>
    </row>
    <row r="99">
      <c r="B99" s="58"/>
    </row>
    <row r="100">
      <c r="B100" s="58"/>
    </row>
    <row r="101">
      <c r="B101" s="58"/>
    </row>
    <row r="102">
      <c r="B102" s="58"/>
    </row>
    <row r="103">
      <c r="B103" s="58"/>
    </row>
    <row r="104">
      <c r="B104" s="58"/>
    </row>
    <row r="105">
      <c r="B105" s="58"/>
    </row>
    <row r="106">
      <c r="B106" s="58"/>
    </row>
    <row r="107">
      <c r="B107" s="58"/>
    </row>
    <row r="108">
      <c r="B108" s="58"/>
    </row>
    <row r="109">
      <c r="B109" s="58"/>
    </row>
    <row r="110">
      <c r="B110" s="58"/>
    </row>
    <row r="111">
      <c r="B111" s="58"/>
    </row>
    <row r="112">
      <c r="B112" s="58"/>
    </row>
    <row r="113">
      <c r="B113" s="58"/>
    </row>
    <row r="114">
      <c r="B114" s="58"/>
    </row>
    <row r="115">
      <c r="B115" s="58"/>
    </row>
    <row r="116">
      <c r="B116" s="58"/>
    </row>
    <row r="117">
      <c r="B117" s="58"/>
    </row>
    <row r="118">
      <c r="B118" s="58"/>
    </row>
    <row r="119">
      <c r="B119" s="58"/>
    </row>
    <row r="120">
      <c r="B120" s="58"/>
    </row>
    <row r="121">
      <c r="B121" s="58"/>
    </row>
    <row r="122">
      <c r="B122" s="58"/>
    </row>
    <row r="123">
      <c r="B123" s="58"/>
    </row>
    <row r="124">
      <c r="B124" s="58"/>
    </row>
    <row r="125">
      <c r="B125" s="58"/>
    </row>
    <row r="126">
      <c r="B126" s="58"/>
    </row>
    <row r="127">
      <c r="B127" s="58"/>
    </row>
    <row r="128">
      <c r="B128" s="58"/>
    </row>
    <row r="129">
      <c r="B129" s="58"/>
    </row>
    <row r="130">
      <c r="B130" s="58"/>
    </row>
    <row r="131">
      <c r="B131" s="58"/>
    </row>
    <row r="132">
      <c r="B132" s="58"/>
    </row>
    <row r="133">
      <c r="B133" s="58"/>
    </row>
    <row r="134">
      <c r="B134" s="58"/>
    </row>
    <row r="135">
      <c r="B135" s="58"/>
    </row>
    <row r="136">
      <c r="B136" s="58"/>
    </row>
    <row r="137">
      <c r="B137" s="58"/>
    </row>
    <row r="138">
      <c r="B138" s="58"/>
    </row>
    <row r="139">
      <c r="B139" s="58"/>
    </row>
    <row r="140">
      <c r="B140" s="58"/>
    </row>
    <row r="141">
      <c r="B141" s="58"/>
    </row>
    <row r="142">
      <c r="B142" s="58"/>
    </row>
    <row r="143">
      <c r="B143" s="58"/>
    </row>
    <row r="144">
      <c r="B144" s="58"/>
    </row>
    <row r="145">
      <c r="B145" s="58"/>
    </row>
    <row r="146">
      <c r="B146" s="58"/>
    </row>
    <row r="147">
      <c r="B147" s="58"/>
    </row>
    <row r="148">
      <c r="B148" s="58"/>
    </row>
    <row r="149">
      <c r="B149" s="58"/>
    </row>
    <row r="150">
      <c r="B150" s="58"/>
    </row>
    <row r="151">
      <c r="B151" s="58"/>
    </row>
    <row r="152">
      <c r="B152" s="58"/>
    </row>
    <row r="153">
      <c r="B153" s="58"/>
    </row>
    <row r="154">
      <c r="B154" s="58"/>
    </row>
    <row r="155">
      <c r="B155" s="58"/>
    </row>
    <row r="156">
      <c r="B156" s="58"/>
    </row>
    <row r="157">
      <c r="B157" s="58"/>
    </row>
    <row r="158">
      <c r="B158" s="58"/>
    </row>
    <row r="159">
      <c r="B159" s="58"/>
    </row>
    <row r="160">
      <c r="B160" s="58"/>
    </row>
    <row r="161">
      <c r="B161" s="58"/>
    </row>
    <row r="162">
      <c r="B162" s="58"/>
    </row>
    <row r="163">
      <c r="B163" s="58"/>
    </row>
    <row r="164">
      <c r="B164" s="58"/>
    </row>
    <row r="165">
      <c r="B165" s="58"/>
    </row>
    <row r="166">
      <c r="B166" s="58"/>
    </row>
    <row r="167">
      <c r="B167" s="58"/>
    </row>
    <row r="168">
      <c r="B168" s="58"/>
    </row>
    <row r="169">
      <c r="B169" s="58"/>
    </row>
    <row r="170">
      <c r="B170" s="58"/>
    </row>
    <row r="171">
      <c r="B171" s="58"/>
    </row>
    <row r="172">
      <c r="B172" s="58"/>
    </row>
    <row r="173">
      <c r="B173" s="58"/>
    </row>
    <row r="174">
      <c r="B174" s="58"/>
    </row>
    <row r="175">
      <c r="B175" s="58"/>
    </row>
    <row r="176">
      <c r="B176" s="58"/>
    </row>
    <row r="177">
      <c r="B177" s="58"/>
    </row>
    <row r="178">
      <c r="B178" s="58"/>
    </row>
    <row r="179">
      <c r="B179" s="58"/>
    </row>
    <row r="180">
      <c r="B180" s="58"/>
    </row>
    <row r="181">
      <c r="B181" s="58"/>
    </row>
    <row r="182">
      <c r="B182" s="58"/>
    </row>
    <row r="183">
      <c r="B183" s="58"/>
    </row>
    <row r="184">
      <c r="B184" s="58"/>
    </row>
    <row r="185">
      <c r="B185" s="58"/>
    </row>
    <row r="186">
      <c r="B186" s="58"/>
    </row>
    <row r="187">
      <c r="B187" s="58"/>
    </row>
    <row r="188">
      <c r="B188" s="58"/>
    </row>
    <row r="189">
      <c r="B189" s="58"/>
    </row>
    <row r="190">
      <c r="B190" s="58"/>
    </row>
    <row r="191">
      <c r="B191" s="58"/>
    </row>
    <row r="192">
      <c r="B192" s="58"/>
    </row>
    <row r="193">
      <c r="B193" s="58"/>
    </row>
    <row r="194">
      <c r="B194" s="58"/>
    </row>
    <row r="195">
      <c r="B195" s="58"/>
    </row>
    <row r="196">
      <c r="B196" s="58"/>
    </row>
    <row r="197">
      <c r="B197" s="58"/>
    </row>
    <row r="198">
      <c r="B198" s="58"/>
    </row>
    <row r="199">
      <c r="B199" s="58"/>
    </row>
    <row r="200">
      <c r="B200" s="58"/>
    </row>
    <row r="201">
      <c r="B201" s="58"/>
    </row>
    <row r="202">
      <c r="B202" s="58"/>
    </row>
    <row r="203">
      <c r="B203" s="58"/>
    </row>
    <row r="204">
      <c r="B204" s="58"/>
    </row>
    <row r="205">
      <c r="B205" s="58"/>
    </row>
    <row r="206">
      <c r="B206" s="58"/>
    </row>
    <row r="207">
      <c r="B207" s="58"/>
    </row>
    <row r="208">
      <c r="B208" s="58"/>
    </row>
    <row r="209">
      <c r="B209" s="58"/>
    </row>
    <row r="210">
      <c r="B210" s="58"/>
    </row>
    <row r="211">
      <c r="B211" s="58"/>
    </row>
    <row r="212">
      <c r="B212" s="58"/>
    </row>
    <row r="213">
      <c r="B213" s="58"/>
    </row>
    <row r="214">
      <c r="B214" s="58"/>
    </row>
    <row r="215">
      <c r="B215" s="58"/>
    </row>
    <row r="216">
      <c r="B216" s="58"/>
    </row>
    <row r="217">
      <c r="B217" s="58"/>
    </row>
    <row r="218">
      <c r="B218" s="58"/>
    </row>
    <row r="219">
      <c r="B219" s="58"/>
    </row>
    <row r="220">
      <c r="B220" s="58"/>
    </row>
    <row r="221">
      <c r="B221" s="58"/>
    </row>
    <row r="222">
      <c r="B222" s="58"/>
    </row>
    <row r="223">
      <c r="B223" s="58"/>
    </row>
    <row r="224">
      <c r="B224" s="58"/>
    </row>
    <row r="225">
      <c r="B225" s="58"/>
    </row>
    <row r="226">
      <c r="B226" s="58"/>
    </row>
    <row r="227">
      <c r="B227" s="58"/>
    </row>
    <row r="228">
      <c r="B228" s="58"/>
    </row>
    <row r="229">
      <c r="B229" s="58"/>
    </row>
    <row r="230">
      <c r="B230" s="58"/>
    </row>
    <row r="231">
      <c r="B231" s="58"/>
    </row>
    <row r="232">
      <c r="B232" s="58"/>
    </row>
    <row r="233">
      <c r="B233" s="58"/>
    </row>
    <row r="234">
      <c r="B234" s="58"/>
    </row>
    <row r="235">
      <c r="B235" s="58"/>
    </row>
    <row r="236">
      <c r="B236" s="58"/>
    </row>
    <row r="237">
      <c r="B237" s="58"/>
    </row>
    <row r="238">
      <c r="B238" s="58"/>
    </row>
    <row r="239">
      <c r="B239" s="58"/>
    </row>
    <row r="240">
      <c r="B240" s="58"/>
    </row>
    <row r="241">
      <c r="B241" s="58"/>
    </row>
    <row r="242">
      <c r="B242" s="58"/>
    </row>
    <row r="243">
      <c r="B243" s="58"/>
    </row>
    <row r="244">
      <c r="B244" s="58"/>
    </row>
    <row r="245">
      <c r="B245" s="58"/>
    </row>
    <row r="246">
      <c r="B246" s="58"/>
    </row>
    <row r="247">
      <c r="B247" s="58"/>
    </row>
    <row r="248">
      <c r="B248" s="58"/>
    </row>
    <row r="249">
      <c r="B249" s="58"/>
    </row>
    <row r="250">
      <c r="B250" s="58"/>
    </row>
    <row r="251">
      <c r="B251" s="58"/>
    </row>
    <row r="252">
      <c r="B252" s="58"/>
    </row>
    <row r="253">
      <c r="B253" s="58"/>
    </row>
    <row r="254">
      <c r="B254" s="58"/>
    </row>
    <row r="255">
      <c r="B255" s="58"/>
    </row>
    <row r="256">
      <c r="B256" s="58"/>
    </row>
    <row r="257">
      <c r="B257" s="58"/>
    </row>
    <row r="258">
      <c r="B258" s="58"/>
    </row>
    <row r="259">
      <c r="B259" s="58"/>
    </row>
    <row r="260">
      <c r="B260" s="58"/>
    </row>
    <row r="261">
      <c r="B261" s="58"/>
    </row>
    <row r="262">
      <c r="B262" s="58"/>
    </row>
    <row r="263">
      <c r="B263" s="58"/>
    </row>
    <row r="264">
      <c r="B264" s="58"/>
    </row>
    <row r="265">
      <c r="B265" s="58"/>
    </row>
    <row r="266">
      <c r="B266" s="58"/>
    </row>
    <row r="267">
      <c r="B267" s="58"/>
    </row>
    <row r="268">
      <c r="B268" s="58"/>
    </row>
    <row r="269">
      <c r="B269" s="58"/>
    </row>
    <row r="270">
      <c r="B270" s="58"/>
    </row>
    <row r="271">
      <c r="B271" s="58"/>
    </row>
    <row r="272">
      <c r="B272" s="58"/>
    </row>
    <row r="273">
      <c r="B273" s="58"/>
    </row>
    <row r="274">
      <c r="B274" s="58"/>
    </row>
    <row r="275">
      <c r="B275" s="58"/>
    </row>
    <row r="276">
      <c r="B276" s="58"/>
    </row>
    <row r="277">
      <c r="B277" s="58"/>
    </row>
    <row r="278">
      <c r="B278" s="58"/>
    </row>
    <row r="279">
      <c r="B279" s="58"/>
    </row>
    <row r="280">
      <c r="B280" s="58"/>
    </row>
    <row r="281">
      <c r="B281" s="58"/>
    </row>
    <row r="282">
      <c r="B282" s="58"/>
    </row>
    <row r="283">
      <c r="B283" s="58"/>
    </row>
    <row r="284">
      <c r="B284" s="58"/>
    </row>
    <row r="285">
      <c r="B285" s="58"/>
    </row>
    <row r="286">
      <c r="B286" s="58"/>
    </row>
    <row r="287">
      <c r="B287" s="58"/>
    </row>
    <row r="288">
      <c r="B288" s="58"/>
    </row>
    <row r="289">
      <c r="B289" s="58"/>
    </row>
    <row r="290">
      <c r="B290" s="58"/>
    </row>
    <row r="291">
      <c r="B291" s="58"/>
    </row>
    <row r="292">
      <c r="B292" s="58"/>
    </row>
    <row r="293">
      <c r="B293" s="58"/>
    </row>
    <row r="294">
      <c r="B294" s="58"/>
    </row>
    <row r="295">
      <c r="B295" s="58"/>
    </row>
    <row r="296">
      <c r="B296" s="58"/>
    </row>
    <row r="297">
      <c r="B297" s="58"/>
    </row>
    <row r="298">
      <c r="B298" s="58"/>
    </row>
    <row r="299">
      <c r="B299" s="58"/>
    </row>
    <row r="300">
      <c r="B300" s="58"/>
    </row>
    <row r="301">
      <c r="B301" s="58"/>
    </row>
    <row r="302">
      <c r="B302" s="58"/>
    </row>
    <row r="303">
      <c r="B303" s="58"/>
    </row>
    <row r="304">
      <c r="B304" s="58"/>
    </row>
    <row r="305">
      <c r="B305" s="58"/>
    </row>
    <row r="306">
      <c r="B306" s="58"/>
    </row>
    <row r="307">
      <c r="B307" s="58"/>
    </row>
    <row r="308">
      <c r="B308" s="58"/>
    </row>
    <row r="309">
      <c r="B309" s="58"/>
    </row>
    <row r="310">
      <c r="B310" s="58"/>
    </row>
    <row r="311">
      <c r="B311" s="58"/>
    </row>
    <row r="312">
      <c r="B312" s="58"/>
    </row>
    <row r="313">
      <c r="B313" s="58"/>
    </row>
    <row r="314">
      <c r="B314" s="58"/>
    </row>
    <row r="315">
      <c r="B315" s="58"/>
    </row>
    <row r="316">
      <c r="B316" s="58"/>
    </row>
    <row r="317">
      <c r="B317" s="58"/>
    </row>
    <row r="318">
      <c r="B318" s="58"/>
    </row>
    <row r="319">
      <c r="B319" s="58"/>
    </row>
    <row r="320">
      <c r="B320" s="58"/>
    </row>
    <row r="321">
      <c r="B321" s="58"/>
    </row>
    <row r="322">
      <c r="B322" s="58"/>
    </row>
    <row r="323">
      <c r="B323" s="58"/>
    </row>
    <row r="324">
      <c r="B324" s="58"/>
    </row>
    <row r="325">
      <c r="B325" s="58"/>
    </row>
    <row r="326">
      <c r="B326" s="58"/>
    </row>
    <row r="327">
      <c r="B327" s="58"/>
    </row>
    <row r="328">
      <c r="B328" s="58"/>
    </row>
    <row r="329">
      <c r="B329" s="58"/>
    </row>
    <row r="330">
      <c r="B330" s="58"/>
    </row>
    <row r="331">
      <c r="B331" s="58"/>
    </row>
    <row r="332">
      <c r="B332" s="58"/>
    </row>
    <row r="333">
      <c r="B333" s="58"/>
    </row>
    <row r="334">
      <c r="B334" s="58"/>
    </row>
    <row r="335">
      <c r="B335" s="58"/>
    </row>
    <row r="336">
      <c r="B336" s="58"/>
    </row>
    <row r="337">
      <c r="B337" s="58"/>
    </row>
    <row r="338">
      <c r="B338" s="58"/>
    </row>
    <row r="339">
      <c r="B339" s="58"/>
    </row>
    <row r="340">
      <c r="B340" s="58"/>
    </row>
    <row r="341">
      <c r="B341" s="58"/>
    </row>
    <row r="342">
      <c r="B342" s="58"/>
    </row>
    <row r="343">
      <c r="B343" s="58"/>
    </row>
    <row r="344">
      <c r="B344" s="58"/>
    </row>
    <row r="345">
      <c r="B345" s="58"/>
    </row>
    <row r="346">
      <c r="B346" s="58"/>
    </row>
    <row r="347">
      <c r="B347" s="58"/>
    </row>
    <row r="348">
      <c r="B348" s="58"/>
    </row>
    <row r="349">
      <c r="B349" s="58"/>
    </row>
    <row r="350">
      <c r="B350" s="58"/>
    </row>
    <row r="351">
      <c r="B351" s="58"/>
    </row>
    <row r="352">
      <c r="B352" s="58"/>
    </row>
    <row r="353">
      <c r="B353" s="58"/>
    </row>
    <row r="354">
      <c r="B354" s="58"/>
    </row>
    <row r="355">
      <c r="B355" s="58"/>
    </row>
    <row r="356">
      <c r="B356" s="58"/>
    </row>
    <row r="357">
      <c r="B357" s="58"/>
    </row>
    <row r="358">
      <c r="B358" s="58"/>
    </row>
    <row r="359">
      <c r="B359" s="58"/>
    </row>
    <row r="360">
      <c r="B360" s="58"/>
    </row>
    <row r="361">
      <c r="B361" s="58"/>
    </row>
    <row r="362">
      <c r="B362" s="58"/>
    </row>
    <row r="363">
      <c r="B363" s="58"/>
    </row>
    <row r="364">
      <c r="B364" s="58"/>
    </row>
    <row r="365">
      <c r="B365" s="58"/>
    </row>
    <row r="366">
      <c r="B366" s="58"/>
    </row>
    <row r="367">
      <c r="B367" s="58"/>
    </row>
    <row r="368">
      <c r="B368" s="58"/>
    </row>
    <row r="369">
      <c r="B369" s="58"/>
    </row>
    <row r="370">
      <c r="B370" s="58"/>
    </row>
    <row r="371">
      <c r="B371" s="58"/>
    </row>
    <row r="372">
      <c r="B372" s="58"/>
    </row>
    <row r="373">
      <c r="B373" s="58"/>
    </row>
    <row r="374">
      <c r="B374" s="58"/>
    </row>
    <row r="375">
      <c r="B375" s="58"/>
    </row>
    <row r="376">
      <c r="B376" s="58"/>
    </row>
    <row r="377">
      <c r="B377" s="58"/>
    </row>
    <row r="378">
      <c r="B378" s="58"/>
    </row>
    <row r="379">
      <c r="B379" s="58"/>
    </row>
    <row r="380">
      <c r="B380" s="58"/>
    </row>
    <row r="381">
      <c r="B381" s="58"/>
    </row>
    <row r="382">
      <c r="B382" s="58"/>
    </row>
    <row r="383">
      <c r="B383" s="58"/>
    </row>
    <row r="384">
      <c r="B384" s="58"/>
    </row>
    <row r="385">
      <c r="B385" s="58"/>
    </row>
    <row r="386">
      <c r="B386" s="58"/>
    </row>
    <row r="387">
      <c r="B387" s="58"/>
    </row>
    <row r="388">
      <c r="B388" s="58"/>
    </row>
    <row r="389">
      <c r="B389" s="58"/>
    </row>
    <row r="390">
      <c r="B390" s="58"/>
    </row>
    <row r="391">
      <c r="B391" s="58"/>
    </row>
    <row r="392">
      <c r="B392" s="58"/>
    </row>
    <row r="393">
      <c r="B393" s="58"/>
    </row>
    <row r="394">
      <c r="B394" s="58"/>
    </row>
    <row r="395">
      <c r="B395" s="58"/>
    </row>
    <row r="396">
      <c r="B396" s="58"/>
    </row>
    <row r="397">
      <c r="B397" s="58"/>
    </row>
    <row r="398">
      <c r="B398" s="58"/>
    </row>
    <row r="399">
      <c r="B399" s="58"/>
    </row>
    <row r="400">
      <c r="B400" s="58"/>
    </row>
    <row r="401">
      <c r="B401" s="58"/>
    </row>
    <row r="402">
      <c r="B402" s="58"/>
    </row>
    <row r="403">
      <c r="B403" s="58"/>
    </row>
    <row r="404">
      <c r="B404" s="58"/>
    </row>
    <row r="405">
      <c r="B405" s="58"/>
    </row>
    <row r="406">
      <c r="B406" s="58"/>
    </row>
    <row r="407">
      <c r="B407" s="58"/>
    </row>
    <row r="408">
      <c r="B408" s="58"/>
    </row>
    <row r="409">
      <c r="B409" s="58"/>
    </row>
    <row r="410">
      <c r="B410" s="58"/>
    </row>
    <row r="411">
      <c r="B411" s="58"/>
    </row>
    <row r="412">
      <c r="B412" s="58"/>
    </row>
    <row r="413">
      <c r="B413" s="58"/>
    </row>
    <row r="414">
      <c r="B414" s="58"/>
    </row>
    <row r="415">
      <c r="B415" s="58"/>
    </row>
    <row r="416">
      <c r="B416" s="58"/>
    </row>
    <row r="417">
      <c r="B417" s="58"/>
    </row>
    <row r="418">
      <c r="B418" s="58"/>
    </row>
    <row r="419">
      <c r="B419" s="58"/>
    </row>
    <row r="420">
      <c r="B420" s="58"/>
    </row>
    <row r="421">
      <c r="B421" s="58"/>
    </row>
    <row r="422">
      <c r="B422" s="58"/>
    </row>
    <row r="423">
      <c r="B423" s="58"/>
    </row>
    <row r="424">
      <c r="B424" s="58"/>
    </row>
    <row r="425">
      <c r="B425" s="58"/>
    </row>
    <row r="426">
      <c r="B426" s="58"/>
    </row>
    <row r="427">
      <c r="B427" s="58"/>
    </row>
    <row r="428">
      <c r="B428" s="58"/>
    </row>
    <row r="429">
      <c r="B429" s="58"/>
    </row>
    <row r="430">
      <c r="B430" s="58"/>
    </row>
    <row r="431">
      <c r="B431" s="58"/>
    </row>
    <row r="432">
      <c r="B432" s="58"/>
    </row>
    <row r="433">
      <c r="B433" s="58"/>
    </row>
    <row r="434">
      <c r="B434" s="58"/>
    </row>
    <row r="435">
      <c r="B435" s="58"/>
    </row>
    <row r="436">
      <c r="B436" s="58"/>
    </row>
    <row r="437">
      <c r="B437" s="58"/>
    </row>
    <row r="438">
      <c r="B438" s="58"/>
    </row>
    <row r="439">
      <c r="B439" s="58"/>
    </row>
    <row r="440">
      <c r="B440" s="58"/>
    </row>
    <row r="441">
      <c r="B441" s="58"/>
    </row>
    <row r="442">
      <c r="B442" s="58"/>
    </row>
    <row r="443">
      <c r="B443" s="58"/>
    </row>
    <row r="444">
      <c r="B444" s="58"/>
    </row>
    <row r="445">
      <c r="B445" s="58"/>
    </row>
    <row r="446">
      <c r="B446" s="58"/>
    </row>
    <row r="447">
      <c r="B447" s="58"/>
    </row>
    <row r="448">
      <c r="B448" s="58"/>
    </row>
    <row r="449">
      <c r="B449" s="58"/>
    </row>
    <row r="450">
      <c r="B450" s="58"/>
    </row>
    <row r="451">
      <c r="B451" s="58"/>
    </row>
    <row r="452">
      <c r="B452" s="58"/>
    </row>
    <row r="453">
      <c r="B453" s="58"/>
    </row>
    <row r="454">
      <c r="B454" s="58"/>
    </row>
    <row r="455">
      <c r="B455" s="58"/>
    </row>
    <row r="456">
      <c r="B456" s="58"/>
    </row>
    <row r="457">
      <c r="B457" s="58"/>
    </row>
    <row r="458">
      <c r="B458" s="58"/>
    </row>
    <row r="459">
      <c r="B459" s="58"/>
    </row>
    <row r="460">
      <c r="B460" s="58"/>
    </row>
    <row r="461">
      <c r="B461" s="58"/>
    </row>
    <row r="462">
      <c r="B462" s="58"/>
    </row>
    <row r="463">
      <c r="B463" s="58"/>
    </row>
    <row r="464">
      <c r="B464" s="58"/>
    </row>
    <row r="465">
      <c r="B465" s="58"/>
    </row>
    <row r="466">
      <c r="B466" s="58"/>
    </row>
    <row r="467">
      <c r="B467" s="58"/>
    </row>
    <row r="468">
      <c r="B468" s="58"/>
    </row>
    <row r="469">
      <c r="B469" s="58"/>
    </row>
    <row r="470">
      <c r="B470" s="58"/>
    </row>
    <row r="471">
      <c r="B471" s="58"/>
    </row>
    <row r="472">
      <c r="B472" s="58"/>
    </row>
    <row r="473">
      <c r="B473" s="58"/>
    </row>
    <row r="474">
      <c r="B474" s="58"/>
    </row>
    <row r="475">
      <c r="B475" s="58"/>
    </row>
    <row r="476">
      <c r="B476" s="58"/>
    </row>
    <row r="477">
      <c r="B477" s="58"/>
    </row>
    <row r="478">
      <c r="B478" s="58"/>
    </row>
    <row r="479">
      <c r="B479" s="58"/>
    </row>
    <row r="480">
      <c r="B480" s="58"/>
    </row>
    <row r="481">
      <c r="B481" s="58"/>
    </row>
    <row r="482">
      <c r="B482" s="58"/>
    </row>
    <row r="483">
      <c r="B483" s="58"/>
    </row>
    <row r="484">
      <c r="B484" s="58"/>
    </row>
    <row r="485">
      <c r="B485" s="58"/>
    </row>
    <row r="486">
      <c r="B486" s="58"/>
    </row>
    <row r="487">
      <c r="B487" s="58"/>
    </row>
    <row r="488">
      <c r="B488" s="58"/>
    </row>
    <row r="489">
      <c r="B489" s="58"/>
    </row>
    <row r="490">
      <c r="B490" s="58"/>
    </row>
    <row r="491">
      <c r="B491" s="58"/>
    </row>
    <row r="492">
      <c r="B492" s="58"/>
    </row>
    <row r="493">
      <c r="B493" s="58"/>
    </row>
    <row r="494">
      <c r="B494" s="58"/>
    </row>
    <row r="495">
      <c r="B495" s="58"/>
    </row>
    <row r="496">
      <c r="B496" s="58"/>
    </row>
    <row r="497">
      <c r="B497" s="58"/>
    </row>
    <row r="498">
      <c r="B498" s="58"/>
    </row>
    <row r="499">
      <c r="B499" s="58"/>
    </row>
    <row r="500">
      <c r="B500" s="58"/>
    </row>
    <row r="501">
      <c r="B501" s="58"/>
    </row>
    <row r="502">
      <c r="B502" s="58"/>
    </row>
    <row r="503">
      <c r="B503" s="58"/>
    </row>
    <row r="504">
      <c r="B504" s="58"/>
    </row>
    <row r="505">
      <c r="B505" s="58"/>
    </row>
    <row r="506">
      <c r="B506" s="58"/>
    </row>
    <row r="507">
      <c r="B507" s="58"/>
    </row>
    <row r="508">
      <c r="B508" s="58"/>
    </row>
    <row r="509">
      <c r="B509" s="58"/>
    </row>
    <row r="510">
      <c r="B510" s="58"/>
    </row>
    <row r="511">
      <c r="B511" s="58"/>
    </row>
    <row r="512">
      <c r="B512" s="58"/>
    </row>
    <row r="513">
      <c r="B513" s="58"/>
    </row>
    <row r="514">
      <c r="B514" s="58"/>
    </row>
    <row r="515">
      <c r="B515" s="58"/>
    </row>
    <row r="516">
      <c r="B516" s="58"/>
    </row>
    <row r="517">
      <c r="B517" s="58"/>
    </row>
    <row r="518">
      <c r="B518" s="58"/>
    </row>
    <row r="519">
      <c r="B519" s="58"/>
    </row>
    <row r="520">
      <c r="B520" s="58"/>
    </row>
    <row r="521">
      <c r="B521" s="58"/>
    </row>
    <row r="522">
      <c r="B522" s="58"/>
    </row>
    <row r="523">
      <c r="B523" s="58"/>
    </row>
    <row r="524">
      <c r="B524" s="58"/>
    </row>
    <row r="525">
      <c r="B525" s="58"/>
    </row>
    <row r="526">
      <c r="B526" s="58"/>
    </row>
    <row r="527">
      <c r="B527" s="58"/>
    </row>
    <row r="528">
      <c r="B528" s="58"/>
    </row>
    <row r="529">
      <c r="B529" s="58"/>
    </row>
    <row r="530">
      <c r="B530" s="58"/>
    </row>
    <row r="531">
      <c r="B531" s="58"/>
    </row>
    <row r="532">
      <c r="B532" s="58"/>
    </row>
    <row r="533">
      <c r="B533" s="58"/>
    </row>
    <row r="534">
      <c r="B534" s="58"/>
    </row>
    <row r="535">
      <c r="B535" s="58"/>
    </row>
    <row r="536">
      <c r="B536" s="58"/>
    </row>
    <row r="537">
      <c r="B537" s="58"/>
    </row>
    <row r="538">
      <c r="B538" s="58"/>
    </row>
    <row r="539">
      <c r="B539" s="58"/>
    </row>
    <row r="540">
      <c r="B540" s="58"/>
    </row>
    <row r="541">
      <c r="B541" s="58"/>
    </row>
    <row r="542">
      <c r="B542" s="58"/>
    </row>
    <row r="543">
      <c r="B543" s="58"/>
    </row>
    <row r="544">
      <c r="B544" s="58"/>
    </row>
    <row r="545">
      <c r="B545" s="58"/>
    </row>
    <row r="546">
      <c r="B546" s="58"/>
    </row>
    <row r="547">
      <c r="B547" s="58"/>
    </row>
    <row r="548">
      <c r="B548" s="58"/>
    </row>
    <row r="549">
      <c r="B549" s="58"/>
    </row>
    <row r="550">
      <c r="B550" s="58"/>
    </row>
    <row r="551">
      <c r="B551" s="58"/>
    </row>
    <row r="552">
      <c r="B552" s="58"/>
    </row>
    <row r="553">
      <c r="B553" s="58"/>
    </row>
    <row r="554">
      <c r="B554" s="58"/>
    </row>
    <row r="555">
      <c r="B555" s="58"/>
    </row>
    <row r="556">
      <c r="B556" s="58"/>
    </row>
    <row r="557">
      <c r="B557" s="58"/>
    </row>
    <row r="558">
      <c r="B558" s="58"/>
    </row>
    <row r="559">
      <c r="B559" s="58"/>
    </row>
    <row r="560">
      <c r="B560" s="58"/>
    </row>
    <row r="561">
      <c r="B561" s="58"/>
    </row>
    <row r="562">
      <c r="B562" s="58"/>
    </row>
    <row r="563">
      <c r="B563" s="58"/>
    </row>
    <row r="564">
      <c r="B564" s="58"/>
    </row>
    <row r="565">
      <c r="B565" s="58"/>
    </row>
    <row r="566">
      <c r="B566" s="58"/>
    </row>
    <row r="567">
      <c r="B567" s="58"/>
    </row>
    <row r="568">
      <c r="B568" s="58"/>
    </row>
    <row r="569">
      <c r="B569" s="58"/>
    </row>
    <row r="570">
      <c r="B570" s="58"/>
    </row>
    <row r="571">
      <c r="B571" s="58"/>
    </row>
    <row r="572">
      <c r="B572" s="58"/>
    </row>
    <row r="573">
      <c r="B573" s="58"/>
    </row>
    <row r="574">
      <c r="B574" s="58"/>
    </row>
    <row r="575">
      <c r="B575" s="58"/>
    </row>
    <row r="576">
      <c r="B576" s="58"/>
    </row>
    <row r="577">
      <c r="B577" s="58"/>
    </row>
    <row r="578">
      <c r="B578" s="58"/>
    </row>
    <row r="579">
      <c r="B579" s="58"/>
    </row>
    <row r="580">
      <c r="B580" s="58"/>
    </row>
    <row r="581">
      <c r="B581" s="58"/>
    </row>
    <row r="582">
      <c r="B582" s="58"/>
    </row>
    <row r="583">
      <c r="B583" s="58"/>
    </row>
    <row r="584">
      <c r="B584" s="58"/>
    </row>
    <row r="585">
      <c r="B585" s="58"/>
    </row>
    <row r="586">
      <c r="B586" s="58"/>
    </row>
    <row r="587">
      <c r="B587" s="58"/>
    </row>
    <row r="588">
      <c r="B588" s="58"/>
    </row>
    <row r="589">
      <c r="B589" s="58"/>
    </row>
    <row r="590">
      <c r="B590" s="58"/>
    </row>
    <row r="591">
      <c r="B591" s="58"/>
    </row>
    <row r="592">
      <c r="B592" s="58"/>
    </row>
    <row r="593">
      <c r="B593" s="58"/>
    </row>
    <row r="594">
      <c r="B594" s="58"/>
    </row>
    <row r="595">
      <c r="B595" s="58"/>
    </row>
    <row r="596">
      <c r="B596" s="58"/>
    </row>
    <row r="597">
      <c r="B597" s="58"/>
    </row>
    <row r="598">
      <c r="B598" s="58"/>
    </row>
    <row r="599">
      <c r="B599" s="58"/>
    </row>
    <row r="600">
      <c r="B600" s="58"/>
    </row>
    <row r="601">
      <c r="B601" s="58"/>
    </row>
    <row r="602">
      <c r="B602" s="58"/>
    </row>
    <row r="603">
      <c r="B603" s="58"/>
    </row>
    <row r="604">
      <c r="B604" s="58"/>
    </row>
    <row r="605">
      <c r="B605" s="58"/>
    </row>
    <row r="606">
      <c r="B606" s="58"/>
    </row>
    <row r="607">
      <c r="B607" s="58"/>
    </row>
    <row r="608">
      <c r="B608" s="58"/>
    </row>
    <row r="609">
      <c r="B609" s="58"/>
    </row>
    <row r="610">
      <c r="B610" s="58"/>
    </row>
    <row r="611">
      <c r="B611" s="58"/>
    </row>
    <row r="612">
      <c r="B612" s="58"/>
    </row>
    <row r="613">
      <c r="B613" s="58"/>
    </row>
    <row r="614">
      <c r="B614" s="58"/>
    </row>
    <row r="615">
      <c r="B615" s="58"/>
    </row>
    <row r="616">
      <c r="B616" s="58"/>
    </row>
    <row r="617">
      <c r="B617" s="58"/>
    </row>
    <row r="618">
      <c r="B618" s="58"/>
    </row>
    <row r="619">
      <c r="B619" s="58"/>
    </row>
    <row r="620">
      <c r="B620" s="58"/>
    </row>
    <row r="621">
      <c r="B621" s="58"/>
    </row>
    <row r="622">
      <c r="B622" s="58"/>
    </row>
    <row r="623">
      <c r="B623" s="58"/>
    </row>
    <row r="624">
      <c r="B624" s="58"/>
    </row>
    <row r="625">
      <c r="B625" s="58"/>
    </row>
    <row r="626">
      <c r="B626" s="58"/>
    </row>
    <row r="627">
      <c r="B627" s="58"/>
    </row>
    <row r="628">
      <c r="B628" s="58"/>
    </row>
    <row r="629">
      <c r="B629" s="58"/>
    </row>
    <row r="630">
      <c r="B630" s="58"/>
    </row>
    <row r="631">
      <c r="B631" s="58"/>
    </row>
    <row r="632">
      <c r="B632" s="58"/>
    </row>
    <row r="633">
      <c r="B633" s="58"/>
    </row>
    <row r="634">
      <c r="B634" s="58"/>
    </row>
    <row r="635">
      <c r="B635" s="58"/>
    </row>
    <row r="636">
      <c r="B636" s="58"/>
    </row>
    <row r="637">
      <c r="B637" s="58"/>
    </row>
    <row r="638">
      <c r="B638" s="58"/>
    </row>
    <row r="639">
      <c r="B639" s="58"/>
    </row>
    <row r="640">
      <c r="B640" s="58"/>
    </row>
    <row r="641">
      <c r="B641" s="58"/>
    </row>
    <row r="642">
      <c r="B642" s="58"/>
    </row>
    <row r="643">
      <c r="B643" s="58"/>
    </row>
    <row r="644">
      <c r="B644" s="58"/>
    </row>
    <row r="645">
      <c r="B645" s="58"/>
    </row>
    <row r="646">
      <c r="B646" s="58"/>
    </row>
    <row r="647">
      <c r="B647" s="58"/>
    </row>
    <row r="648">
      <c r="B648" s="58"/>
    </row>
    <row r="649">
      <c r="B649" s="58"/>
    </row>
    <row r="650">
      <c r="B650" s="58"/>
    </row>
    <row r="651">
      <c r="B651" s="58"/>
    </row>
    <row r="652">
      <c r="B652" s="58"/>
    </row>
    <row r="653">
      <c r="B653" s="58"/>
    </row>
    <row r="654">
      <c r="B654" s="58"/>
    </row>
    <row r="655">
      <c r="B655" s="58"/>
    </row>
    <row r="656">
      <c r="B656" s="58"/>
    </row>
    <row r="657">
      <c r="B657" s="58"/>
    </row>
    <row r="658">
      <c r="B658" s="58"/>
    </row>
    <row r="659">
      <c r="B659" s="58"/>
    </row>
    <row r="660">
      <c r="B660" s="58"/>
    </row>
    <row r="661">
      <c r="B661" s="58"/>
    </row>
    <row r="662">
      <c r="B662" s="58"/>
    </row>
    <row r="663">
      <c r="B663" s="58"/>
    </row>
    <row r="664">
      <c r="B664" s="58"/>
    </row>
    <row r="665">
      <c r="B665" s="58"/>
    </row>
    <row r="666">
      <c r="B666" s="58"/>
    </row>
    <row r="667">
      <c r="B667" s="58"/>
    </row>
    <row r="668">
      <c r="B668" s="58"/>
    </row>
    <row r="669">
      <c r="B669" s="58"/>
    </row>
    <row r="670">
      <c r="B670" s="58"/>
    </row>
    <row r="671">
      <c r="B671" s="58"/>
    </row>
    <row r="672">
      <c r="B672" s="58"/>
    </row>
    <row r="673">
      <c r="B673" s="58"/>
    </row>
    <row r="674">
      <c r="B674" s="58"/>
    </row>
    <row r="675">
      <c r="B675" s="58"/>
    </row>
    <row r="676">
      <c r="B676" s="58"/>
    </row>
    <row r="677">
      <c r="B677" s="58"/>
    </row>
    <row r="678">
      <c r="B678" s="58"/>
    </row>
    <row r="679">
      <c r="B679" s="58"/>
    </row>
    <row r="680">
      <c r="B680" s="58"/>
    </row>
    <row r="681">
      <c r="B681" s="58"/>
    </row>
    <row r="682">
      <c r="B682" s="58"/>
    </row>
    <row r="683">
      <c r="B683" s="58"/>
    </row>
    <row r="684">
      <c r="B684" s="58"/>
    </row>
    <row r="685">
      <c r="B685" s="58"/>
    </row>
    <row r="686">
      <c r="B686" s="58"/>
    </row>
    <row r="687">
      <c r="B687" s="58"/>
    </row>
    <row r="688">
      <c r="B688" s="58"/>
    </row>
    <row r="689">
      <c r="B689" s="58"/>
    </row>
    <row r="690">
      <c r="B690" s="58"/>
    </row>
    <row r="691">
      <c r="B691" s="58"/>
    </row>
    <row r="692">
      <c r="B692" s="58"/>
    </row>
    <row r="693">
      <c r="B693" s="58"/>
    </row>
    <row r="694">
      <c r="B694" s="58"/>
    </row>
    <row r="695">
      <c r="B695" s="58"/>
    </row>
    <row r="696">
      <c r="B696" s="58"/>
    </row>
    <row r="697">
      <c r="B697" s="58"/>
    </row>
    <row r="698">
      <c r="B698" s="58"/>
    </row>
    <row r="699">
      <c r="B699" s="58"/>
    </row>
    <row r="700">
      <c r="B700" s="58"/>
    </row>
    <row r="701">
      <c r="B701" s="58"/>
    </row>
    <row r="702">
      <c r="B702" s="58"/>
    </row>
    <row r="703">
      <c r="B703" s="58"/>
    </row>
    <row r="704">
      <c r="B704" s="58"/>
    </row>
    <row r="705">
      <c r="B705" s="58"/>
    </row>
    <row r="706">
      <c r="B706" s="58"/>
    </row>
    <row r="707">
      <c r="B707" s="58"/>
    </row>
    <row r="708">
      <c r="B708" s="58"/>
    </row>
    <row r="709">
      <c r="B709" s="58"/>
    </row>
    <row r="710">
      <c r="B710" s="58"/>
    </row>
    <row r="711">
      <c r="B711" s="58"/>
    </row>
    <row r="712">
      <c r="B712" s="58"/>
    </row>
    <row r="713">
      <c r="B713" s="58"/>
    </row>
    <row r="714">
      <c r="B714" s="58"/>
    </row>
    <row r="715">
      <c r="B715" s="58"/>
    </row>
    <row r="716">
      <c r="B716" s="58"/>
    </row>
    <row r="717">
      <c r="B717" s="58"/>
    </row>
    <row r="718">
      <c r="B718" s="58"/>
    </row>
    <row r="719">
      <c r="B719" s="58"/>
    </row>
    <row r="720">
      <c r="B720" s="58"/>
    </row>
    <row r="721">
      <c r="B721" s="58"/>
    </row>
    <row r="722">
      <c r="B722" s="58"/>
    </row>
    <row r="723">
      <c r="B723" s="58"/>
    </row>
    <row r="724">
      <c r="B724" s="58"/>
    </row>
    <row r="725">
      <c r="B725" s="58"/>
    </row>
    <row r="726">
      <c r="B726" s="58"/>
    </row>
    <row r="727">
      <c r="B727" s="58"/>
    </row>
    <row r="728">
      <c r="B728" s="58"/>
    </row>
    <row r="729">
      <c r="B729" s="58"/>
    </row>
    <row r="730">
      <c r="B730" s="58"/>
    </row>
    <row r="731">
      <c r="B731" s="58"/>
    </row>
    <row r="732">
      <c r="B732" s="58"/>
    </row>
    <row r="733">
      <c r="B733" s="58"/>
    </row>
    <row r="734">
      <c r="B734" s="58"/>
    </row>
    <row r="735">
      <c r="B735" s="58"/>
    </row>
    <row r="736">
      <c r="B736" s="58"/>
    </row>
    <row r="737">
      <c r="B737" s="58"/>
    </row>
    <row r="738">
      <c r="B738" s="58"/>
    </row>
    <row r="739">
      <c r="B739" s="58"/>
    </row>
    <row r="740">
      <c r="B740" s="58"/>
    </row>
    <row r="741">
      <c r="B741" s="58"/>
    </row>
    <row r="742">
      <c r="B742" s="58"/>
    </row>
    <row r="743">
      <c r="B743" s="58"/>
    </row>
    <row r="744">
      <c r="B744" s="58"/>
    </row>
    <row r="745">
      <c r="B745" s="58"/>
    </row>
    <row r="746">
      <c r="B746" s="58"/>
    </row>
    <row r="747">
      <c r="B747" s="58"/>
    </row>
    <row r="748">
      <c r="B748" s="58"/>
    </row>
    <row r="749">
      <c r="B749" s="58"/>
    </row>
    <row r="750">
      <c r="B750" s="58"/>
    </row>
    <row r="751">
      <c r="B751" s="58"/>
    </row>
    <row r="752">
      <c r="B752" s="58"/>
    </row>
    <row r="753">
      <c r="B753" s="58"/>
    </row>
    <row r="754">
      <c r="B754" s="58"/>
    </row>
    <row r="755">
      <c r="B755" s="58"/>
    </row>
    <row r="756">
      <c r="B756" s="58"/>
    </row>
    <row r="757">
      <c r="B757" s="58"/>
    </row>
    <row r="758">
      <c r="B758" s="58"/>
    </row>
    <row r="759">
      <c r="B759" s="58"/>
    </row>
    <row r="760">
      <c r="B760" s="58"/>
    </row>
    <row r="761">
      <c r="B761" s="58"/>
    </row>
    <row r="762">
      <c r="B762" s="58"/>
    </row>
    <row r="763">
      <c r="B763" s="58"/>
    </row>
    <row r="764">
      <c r="B764" s="58"/>
    </row>
    <row r="765">
      <c r="B765" s="58"/>
    </row>
    <row r="766">
      <c r="B766" s="58"/>
    </row>
    <row r="767">
      <c r="B767" s="58"/>
    </row>
    <row r="768">
      <c r="B768" s="58"/>
    </row>
    <row r="769">
      <c r="B769" s="58"/>
    </row>
    <row r="770">
      <c r="B770" s="58"/>
    </row>
    <row r="771">
      <c r="B771" s="58"/>
    </row>
    <row r="772">
      <c r="B772" s="58"/>
    </row>
    <row r="773">
      <c r="B773" s="58"/>
    </row>
    <row r="774">
      <c r="B774" s="58"/>
    </row>
    <row r="775">
      <c r="B775" s="58"/>
    </row>
    <row r="776">
      <c r="B776" s="58"/>
    </row>
    <row r="777">
      <c r="B777" s="58"/>
    </row>
    <row r="778">
      <c r="B778" s="58"/>
    </row>
    <row r="779">
      <c r="B779" s="58"/>
    </row>
    <row r="780">
      <c r="B780" s="58"/>
    </row>
    <row r="781">
      <c r="B781" s="58"/>
    </row>
    <row r="782">
      <c r="B782" s="58"/>
    </row>
    <row r="783">
      <c r="B783" s="58"/>
    </row>
    <row r="784">
      <c r="B784" s="58"/>
    </row>
    <row r="785">
      <c r="B785" s="58"/>
    </row>
    <row r="786">
      <c r="B786" s="58"/>
    </row>
    <row r="787">
      <c r="B787" s="58"/>
    </row>
    <row r="788">
      <c r="B788" s="58"/>
    </row>
    <row r="789">
      <c r="B789" s="58"/>
    </row>
    <row r="790">
      <c r="B790" s="58"/>
    </row>
    <row r="791">
      <c r="B791" s="58"/>
    </row>
    <row r="792">
      <c r="B792" s="58"/>
    </row>
    <row r="793">
      <c r="B793" s="58"/>
    </row>
    <row r="794">
      <c r="B794" s="58"/>
    </row>
    <row r="795">
      <c r="B795" s="58"/>
    </row>
    <row r="796">
      <c r="B796" s="58"/>
    </row>
    <row r="797">
      <c r="B797" s="58"/>
    </row>
    <row r="798">
      <c r="B798" s="58"/>
    </row>
    <row r="799">
      <c r="B799" s="58"/>
    </row>
    <row r="800">
      <c r="B800" s="58"/>
    </row>
    <row r="801">
      <c r="B801" s="58"/>
    </row>
    <row r="802">
      <c r="B802" s="58"/>
    </row>
    <row r="803">
      <c r="B803" s="58"/>
    </row>
    <row r="804">
      <c r="B804" s="58"/>
    </row>
    <row r="805">
      <c r="B805" s="58"/>
    </row>
    <row r="806">
      <c r="B806" s="58"/>
    </row>
    <row r="807">
      <c r="B807" s="58"/>
    </row>
    <row r="808">
      <c r="B808" s="58"/>
    </row>
    <row r="809">
      <c r="B809" s="58"/>
    </row>
    <row r="810">
      <c r="B810" s="58"/>
    </row>
    <row r="811">
      <c r="B811" s="58"/>
    </row>
    <row r="812">
      <c r="B812" s="58"/>
    </row>
    <row r="813">
      <c r="B813" s="58"/>
    </row>
    <row r="814">
      <c r="B814" s="58"/>
    </row>
    <row r="815">
      <c r="B815" s="58"/>
    </row>
    <row r="816">
      <c r="B816" s="58"/>
    </row>
    <row r="817">
      <c r="B817" s="58"/>
    </row>
    <row r="818">
      <c r="B818" s="58"/>
    </row>
    <row r="819">
      <c r="B819" s="58"/>
    </row>
    <row r="820">
      <c r="B820" s="58"/>
    </row>
    <row r="821">
      <c r="B821" s="58"/>
    </row>
    <row r="822">
      <c r="B822" s="58"/>
    </row>
    <row r="823">
      <c r="B823" s="58"/>
    </row>
    <row r="824">
      <c r="B824" s="58"/>
    </row>
    <row r="825">
      <c r="B825" s="58"/>
    </row>
    <row r="826">
      <c r="B826" s="58"/>
    </row>
    <row r="827">
      <c r="B827" s="58"/>
    </row>
    <row r="828">
      <c r="B828" s="58"/>
    </row>
    <row r="829">
      <c r="B829" s="58"/>
    </row>
    <row r="830">
      <c r="B830" s="58"/>
    </row>
    <row r="831">
      <c r="B831" s="58"/>
    </row>
    <row r="832">
      <c r="B832" s="58"/>
    </row>
    <row r="833">
      <c r="B833" s="58"/>
    </row>
    <row r="834">
      <c r="B834" s="58"/>
    </row>
    <row r="835">
      <c r="B835" s="58"/>
    </row>
    <row r="836">
      <c r="B836" s="58"/>
    </row>
    <row r="837">
      <c r="B837" s="58"/>
    </row>
    <row r="838">
      <c r="B838" s="58"/>
    </row>
    <row r="839">
      <c r="B839" s="58"/>
    </row>
    <row r="840">
      <c r="B840" s="58"/>
    </row>
    <row r="841">
      <c r="B841" s="58"/>
    </row>
    <row r="842">
      <c r="B842" s="58"/>
    </row>
    <row r="843">
      <c r="B843" s="58"/>
    </row>
    <row r="844">
      <c r="B844" s="58"/>
    </row>
    <row r="845">
      <c r="B845" s="58"/>
    </row>
    <row r="846">
      <c r="B846" s="58"/>
    </row>
    <row r="847">
      <c r="B847" s="58"/>
    </row>
    <row r="848">
      <c r="B848" s="58"/>
    </row>
    <row r="849">
      <c r="B849" s="58"/>
    </row>
    <row r="850">
      <c r="B850" s="58"/>
    </row>
    <row r="851">
      <c r="B851" s="58"/>
    </row>
    <row r="852">
      <c r="B852" s="58"/>
    </row>
    <row r="853">
      <c r="B853" s="58"/>
    </row>
    <row r="854">
      <c r="B854" s="58"/>
    </row>
    <row r="855">
      <c r="B855" s="58"/>
    </row>
    <row r="856">
      <c r="B856" s="58"/>
    </row>
    <row r="857">
      <c r="B857" s="58"/>
    </row>
    <row r="858">
      <c r="B858" s="58"/>
    </row>
    <row r="859">
      <c r="B859" s="58"/>
    </row>
    <row r="860">
      <c r="B860" s="58"/>
    </row>
    <row r="861">
      <c r="B861" s="58"/>
    </row>
    <row r="862">
      <c r="B862" s="58"/>
    </row>
    <row r="863">
      <c r="B863" s="58"/>
    </row>
    <row r="864">
      <c r="B864" s="58"/>
    </row>
    <row r="865">
      <c r="B865" s="58"/>
    </row>
    <row r="866">
      <c r="B866" s="58"/>
    </row>
    <row r="867">
      <c r="B867" s="58"/>
    </row>
    <row r="868">
      <c r="B868" s="58"/>
    </row>
    <row r="869">
      <c r="B869" s="58"/>
    </row>
    <row r="870">
      <c r="B870" s="58"/>
    </row>
    <row r="871">
      <c r="B871" s="58"/>
    </row>
    <row r="872">
      <c r="B872" s="58"/>
    </row>
    <row r="873">
      <c r="B873" s="58"/>
    </row>
    <row r="874">
      <c r="B874" s="58"/>
    </row>
    <row r="875">
      <c r="B875" s="58"/>
    </row>
    <row r="876">
      <c r="B876" s="58"/>
    </row>
    <row r="877">
      <c r="B877" s="58"/>
    </row>
    <row r="878">
      <c r="B878" s="58"/>
    </row>
    <row r="879">
      <c r="B879" s="58"/>
    </row>
    <row r="880">
      <c r="B880" s="58"/>
    </row>
    <row r="881">
      <c r="B881" s="58"/>
    </row>
    <row r="882">
      <c r="B882" s="58"/>
    </row>
    <row r="883">
      <c r="B883" s="58"/>
    </row>
    <row r="884">
      <c r="B884" s="58"/>
    </row>
    <row r="885">
      <c r="B885" s="58"/>
    </row>
    <row r="886">
      <c r="B886" s="58"/>
    </row>
    <row r="887">
      <c r="B887" s="58"/>
    </row>
    <row r="888">
      <c r="B888" s="58"/>
    </row>
    <row r="889">
      <c r="B889" s="58"/>
    </row>
    <row r="890">
      <c r="B890" s="58"/>
    </row>
    <row r="891">
      <c r="B891" s="58"/>
    </row>
    <row r="892">
      <c r="B892" s="58"/>
    </row>
    <row r="893">
      <c r="B893" s="58"/>
    </row>
    <row r="894">
      <c r="B894" s="58"/>
    </row>
    <row r="895">
      <c r="B895" s="58"/>
    </row>
    <row r="896">
      <c r="B896" s="58"/>
    </row>
    <row r="897">
      <c r="B897" s="58"/>
    </row>
    <row r="898">
      <c r="B898" s="58"/>
    </row>
    <row r="899">
      <c r="B899" s="58"/>
    </row>
    <row r="900">
      <c r="B900" s="58"/>
    </row>
    <row r="901">
      <c r="B901" s="58"/>
    </row>
    <row r="902">
      <c r="B902" s="58"/>
    </row>
    <row r="903">
      <c r="B903" s="58"/>
    </row>
    <row r="904">
      <c r="B904" s="58"/>
    </row>
    <row r="905">
      <c r="B905" s="58"/>
    </row>
    <row r="906">
      <c r="B906" s="58"/>
    </row>
    <row r="907">
      <c r="B907" s="58"/>
    </row>
    <row r="908">
      <c r="B908" s="58"/>
    </row>
    <row r="909">
      <c r="B909" s="58"/>
    </row>
    <row r="910">
      <c r="B910" s="58"/>
    </row>
    <row r="911">
      <c r="B911" s="58"/>
    </row>
    <row r="912">
      <c r="B912" s="58"/>
    </row>
    <row r="913">
      <c r="B913" s="58"/>
    </row>
    <row r="914">
      <c r="B914" s="58"/>
    </row>
    <row r="915">
      <c r="B915" s="58"/>
    </row>
    <row r="916">
      <c r="B916" s="58"/>
    </row>
    <row r="917">
      <c r="B917" s="58"/>
    </row>
    <row r="918">
      <c r="B918" s="58"/>
    </row>
    <row r="919">
      <c r="B919" s="58"/>
    </row>
    <row r="920">
      <c r="B920" s="58"/>
    </row>
    <row r="921">
      <c r="B921" s="58"/>
    </row>
    <row r="922">
      <c r="B922" s="58"/>
    </row>
    <row r="923">
      <c r="B923" s="58"/>
    </row>
    <row r="924">
      <c r="B924" s="58"/>
    </row>
    <row r="925">
      <c r="B925" s="58"/>
    </row>
    <row r="926">
      <c r="B926" s="58"/>
    </row>
    <row r="927">
      <c r="B927" s="58"/>
    </row>
    <row r="928">
      <c r="B928" s="58"/>
    </row>
    <row r="929">
      <c r="B929" s="58"/>
    </row>
    <row r="930">
      <c r="B930" s="58"/>
    </row>
    <row r="931">
      <c r="B931" s="58"/>
    </row>
    <row r="932">
      <c r="B932" s="58"/>
    </row>
    <row r="933">
      <c r="B933" s="58"/>
    </row>
    <row r="934">
      <c r="B934" s="58"/>
    </row>
    <row r="935">
      <c r="B935" s="58"/>
    </row>
    <row r="936">
      <c r="B936" s="58"/>
    </row>
    <row r="937">
      <c r="B937" s="58"/>
    </row>
    <row r="938">
      <c r="B938" s="58"/>
    </row>
    <row r="939">
      <c r="B939" s="58"/>
    </row>
    <row r="940">
      <c r="B940" s="58"/>
    </row>
    <row r="941">
      <c r="B941" s="58"/>
    </row>
    <row r="942">
      <c r="B942" s="58"/>
    </row>
    <row r="943">
      <c r="B943" s="58"/>
    </row>
    <row r="944">
      <c r="B944" s="58"/>
    </row>
    <row r="945">
      <c r="B945" s="58"/>
    </row>
    <row r="946">
      <c r="B946" s="58"/>
    </row>
    <row r="947">
      <c r="B947" s="58"/>
    </row>
    <row r="948">
      <c r="B948" s="58"/>
    </row>
    <row r="949">
      <c r="B949" s="58"/>
    </row>
    <row r="950">
      <c r="B950" s="58"/>
    </row>
    <row r="951">
      <c r="B951" s="58"/>
    </row>
    <row r="952">
      <c r="B952" s="58"/>
    </row>
    <row r="953">
      <c r="B953" s="58"/>
    </row>
    <row r="954">
      <c r="B954" s="58"/>
    </row>
    <row r="955">
      <c r="B955" s="58"/>
    </row>
    <row r="956">
      <c r="B956" s="58"/>
    </row>
    <row r="957">
      <c r="B957" s="58"/>
    </row>
    <row r="958">
      <c r="B958" s="58"/>
    </row>
    <row r="959">
      <c r="B959" s="58"/>
    </row>
    <row r="960">
      <c r="B960" s="58"/>
    </row>
    <row r="961">
      <c r="B961" s="58"/>
    </row>
    <row r="962">
      <c r="B962" s="58"/>
    </row>
    <row r="963">
      <c r="B963" s="58"/>
    </row>
    <row r="964">
      <c r="B964" s="58"/>
    </row>
    <row r="965">
      <c r="B965" s="58"/>
    </row>
    <row r="966">
      <c r="B966" s="58"/>
    </row>
    <row r="967">
      <c r="B967" s="58"/>
    </row>
    <row r="968">
      <c r="B968" s="58"/>
    </row>
    <row r="969">
      <c r="B969" s="58"/>
    </row>
    <row r="970">
      <c r="B970" s="58"/>
    </row>
    <row r="971">
      <c r="B971" s="58"/>
    </row>
    <row r="972">
      <c r="B972" s="58"/>
    </row>
    <row r="973">
      <c r="B973" s="58"/>
    </row>
    <row r="974">
      <c r="B974" s="58"/>
    </row>
    <row r="975">
      <c r="B975" s="58"/>
    </row>
    <row r="976">
      <c r="B976" s="58"/>
    </row>
    <row r="977">
      <c r="B977" s="58"/>
    </row>
    <row r="978">
      <c r="B978" s="58"/>
    </row>
    <row r="979">
      <c r="B979" s="58"/>
    </row>
    <row r="980">
      <c r="B980" s="58"/>
    </row>
    <row r="981">
      <c r="B981" s="58"/>
    </row>
    <row r="982">
      <c r="B982" s="58"/>
    </row>
    <row r="983">
      <c r="B983" s="58"/>
    </row>
    <row r="984">
      <c r="B984" s="58"/>
    </row>
    <row r="985">
      <c r="B985" s="58"/>
    </row>
    <row r="986">
      <c r="B986" s="58"/>
    </row>
    <row r="987">
      <c r="B987" s="58"/>
    </row>
    <row r="988">
      <c r="B988" s="58"/>
    </row>
    <row r="989">
      <c r="B989" s="58"/>
    </row>
    <row r="990">
      <c r="B990" s="58"/>
    </row>
    <row r="991">
      <c r="B991" s="58"/>
    </row>
    <row r="992">
      <c r="B992" s="58"/>
    </row>
    <row r="993">
      <c r="B993" s="58"/>
    </row>
    <row r="994">
      <c r="B994" s="58"/>
    </row>
    <row r="995">
      <c r="B995" s="58"/>
    </row>
    <row r="996">
      <c r="B996" s="58"/>
    </row>
    <row r="997">
      <c r="B997" s="58"/>
    </row>
    <row r="998">
      <c r="B998" s="58"/>
    </row>
    <row r="999">
      <c r="B999" s="58"/>
    </row>
    <row r="1000">
      <c r="B1000" s="58"/>
    </row>
    <row r="1001">
      <c r="B1001" s="5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5.25"/>
    <col customWidth="1" min="2" max="2" width="37.38"/>
    <col customWidth="1" min="3" max="3" width="41.5"/>
    <col customWidth="1" min="4" max="4" width="31.25"/>
    <col customWidth="1" min="5" max="5" width="39.63"/>
    <col customWidth="1" min="6" max="6" width="12.63"/>
  </cols>
  <sheetData>
    <row r="1" ht="15.75" customHeight="1">
      <c r="A1" s="75" t="s">
        <v>174</v>
      </c>
    </row>
    <row r="2" ht="15.75" customHeight="1"/>
    <row r="3" ht="15.75" customHeight="1"/>
    <row r="4" ht="15.75" customHeight="1">
      <c r="A4" s="76"/>
      <c r="B4" s="77"/>
      <c r="C4" s="77"/>
      <c r="D4" s="78"/>
      <c r="E4" s="79"/>
      <c r="F4" s="78"/>
      <c r="G4" s="78"/>
      <c r="H4" s="78"/>
      <c r="I4" s="78"/>
      <c r="J4" s="78"/>
      <c r="K4" s="80"/>
      <c r="L4" s="80"/>
    </row>
    <row r="5" ht="15.75" customHeight="1">
      <c r="A5" s="76"/>
      <c r="B5" s="77"/>
      <c r="C5" s="77"/>
      <c r="D5" s="78"/>
      <c r="E5" s="79"/>
      <c r="F5" s="78"/>
      <c r="G5" s="78"/>
      <c r="H5" s="78"/>
      <c r="I5" s="78"/>
      <c r="J5" s="78"/>
      <c r="K5" s="80"/>
      <c r="L5" s="80"/>
    </row>
    <row r="6" ht="15.75" customHeight="1">
      <c r="A6" s="76" t="s">
        <v>175</v>
      </c>
      <c r="B6" s="77" t="s">
        <v>176</v>
      </c>
      <c r="C6" s="77" t="s">
        <v>176</v>
      </c>
      <c r="D6" s="81" t="s">
        <v>177</v>
      </c>
      <c r="E6" s="81" t="s">
        <v>177</v>
      </c>
      <c r="F6" s="78"/>
      <c r="G6" s="78"/>
      <c r="H6" s="78"/>
      <c r="I6" s="78"/>
      <c r="J6" s="78"/>
      <c r="K6" s="80"/>
      <c r="L6" s="80"/>
    </row>
    <row r="7" ht="15.75" customHeight="1">
      <c r="A7" s="76"/>
      <c r="B7" s="77"/>
      <c r="C7" s="77"/>
      <c r="D7" s="78"/>
      <c r="E7" s="79"/>
      <c r="F7" s="78"/>
      <c r="G7" s="78"/>
      <c r="H7" s="78"/>
      <c r="I7" s="78"/>
      <c r="J7" s="78"/>
      <c r="K7" s="80"/>
      <c r="L7" s="80"/>
    </row>
    <row r="8" ht="15.75" customHeight="1">
      <c r="A8" s="76" t="s">
        <v>178</v>
      </c>
      <c r="B8" s="77" t="s">
        <v>179</v>
      </c>
      <c r="C8" s="77" t="s">
        <v>180</v>
      </c>
      <c r="D8" s="82" t="s">
        <v>181</v>
      </c>
      <c r="E8" s="81" t="s">
        <v>182</v>
      </c>
      <c r="F8" s="78"/>
      <c r="G8" s="78"/>
      <c r="H8" s="78"/>
      <c r="I8" s="78"/>
      <c r="J8" s="78"/>
      <c r="K8" s="80"/>
      <c r="L8" s="80"/>
    </row>
    <row r="9" ht="15.75" customHeight="1">
      <c r="A9" s="83"/>
      <c r="B9" s="77"/>
      <c r="C9" s="77"/>
      <c r="D9" s="78"/>
      <c r="E9" s="79"/>
      <c r="F9" s="78"/>
      <c r="G9" s="78"/>
      <c r="H9" s="78"/>
      <c r="I9" s="78"/>
      <c r="J9" s="78"/>
      <c r="K9" s="80"/>
      <c r="L9" s="80"/>
    </row>
    <row r="10" ht="15.75" customHeight="1">
      <c r="A10" s="76" t="s">
        <v>183</v>
      </c>
      <c r="B10" s="77" t="s">
        <v>184</v>
      </c>
      <c r="C10" s="77" t="s">
        <v>185</v>
      </c>
      <c r="D10" s="81" t="s">
        <v>186</v>
      </c>
      <c r="E10" s="81" t="s">
        <v>187</v>
      </c>
      <c r="F10" s="78"/>
      <c r="G10" s="78"/>
      <c r="H10" s="78"/>
      <c r="I10" s="78"/>
      <c r="J10" s="78"/>
      <c r="K10" s="80"/>
      <c r="L10" s="80"/>
    </row>
    <row r="11" ht="15.75" customHeight="1">
      <c r="A11" s="83"/>
      <c r="B11" s="77"/>
      <c r="C11" s="77"/>
      <c r="D11" s="78"/>
      <c r="E11" s="79"/>
      <c r="F11" s="78"/>
      <c r="G11" s="78"/>
      <c r="H11" s="78"/>
      <c r="I11" s="78"/>
      <c r="J11" s="78"/>
      <c r="K11" s="80"/>
      <c r="L11" s="80"/>
    </row>
    <row r="12" ht="15.75" customHeight="1">
      <c r="A12" s="84" t="s">
        <v>188</v>
      </c>
      <c r="B12" s="77" t="s">
        <v>189</v>
      </c>
      <c r="C12" s="85" t="s">
        <v>190</v>
      </c>
      <c r="D12" s="82" t="s">
        <v>191</v>
      </c>
      <c r="E12" s="81" t="s">
        <v>192</v>
      </c>
      <c r="F12" s="78"/>
      <c r="G12" s="78"/>
      <c r="H12" s="78"/>
      <c r="I12" s="78"/>
      <c r="J12" s="78"/>
      <c r="K12" s="80"/>
      <c r="L12" s="80"/>
    </row>
    <row r="13" ht="15.75" customHeight="1">
      <c r="A13" s="76"/>
      <c r="B13" s="77"/>
      <c r="C13" s="77"/>
      <c r="D13" s="78"/>
      <c r="E13" s="79"/>
      <c r="F13" s="78"/>
      <c r="G13" s="78"/>
      <c r="H13" s="78"/>
      <c r="I13" s="78"/>
      <c r="J13" s="78"/>
      <c r="K13" s="80"/>
      <c r="L13" s="80"/>
    </row>
    <row r="14" ht="15.75" customHeight="1">
      <c r="A14" s="76" t="s">
        <v>193</v>
      </c>
      <c r="B14" s="77" t="s">
        <v>194</v>
      </c>
      <c r="C14" s="77" t="s">
        <v>194</v>
      </c>
      <c r="D14" s="81" t="s">
        <v>195</v>
      </c>
      <c r="E14" s="81" t="s">
        <v>196</v>
      </c>
      <c r="F14" s="78"/>
      <c r="G14" s="78"/>
      <c r="H14" s="78"/>
      <c r="I14" s="78"/>
      <c r="J14" s="78"/>
      <c r="K14" s="80"/>
      <c r="L14" s="80"/>
    </row>
    <row r="15" ht="15.75" customHeight="1">
      <c r="A15" s="83"/>
      <c r="B15" s="77"/>
      <c r="C15" s="77"/>
      <c r="D15" s="78"/>
      <c r="E15" s="79"/>
      <c r="F15" s="78"/>
      <c r="G15" s="78"/>
      <c r="H15" s="78"/>
      <c r="I15" s="78"/>
      <c r="J15" s="78"/>
      <c r="K15" s="80"/>
      <c r="L15" s="80"/>
    </row>
    <row r="16" ht="15.75" customHeight="1">
      <c r="A16" s="76" t="s">
        <v>197</v>
      </c>
      <c r="B16" s="77" t="s">
        <v>198</v>
      </c>
      <c r="C16" s="77" t="s">
        <v>199</v>
      </c>
      <c r="D16" s="81" t="s">
        <v>200</v>
      </c>
      <c r="E16" s="81" t="s">
        <v>201</v>
      </c>
      <c r="F16" s="78"/>
      <c r="G16" s="78"/>
      <c r="H16" s="78"/>
      <c r="I16" s="78"/>
      <c r="J16" s="86"/>
      <c r="K16" s="80"/>
      <c r="L16" s="80"/>
    </row>
    <row r="17" ht="15.75" customHeight="1">
      <c r="A17" s="76"/>
      <c r="B17" s="77"/>
      <c r="C17" s="77"/>
      <c r="D17" s="78"/>
      <c r="E17" s="79"/>
      <c r="F17" s="78"/>
      <c r="G17" s="78"/>
      <c r="H17" s="78"/>
      <c r="I17" s="78"/>
      <c r="J17" s="86"/>
      <c r="K17" s="80"/>
      <c r="L17" s="80"/>
    </row>
    <row r="18" ht="15.75" customHeight="1">
      <c r="A18" s="76" t="s">
        <v>202</v>
      </c>
      <c r="B18" s="77" t="s">
        <v>203</v>
      </c>
      <c r="C18" s="77" t="s">
        <v>204</v>
      </c>
      <c r="D18" s="81" t="s">
        <v>205</v>
      </c>
      <c r="E18" s="81" t="s">
        <v>206</v>
      </c>
      <c r="F18" s="78"/>
      <c r="G18" s="78"/>
      <c r="H18" s="78"/>
      <c r="I18" s="78"/>
      <c r="J18" s="86"/>
      <c r="K18" s="80"/>
      <c r="L18" s="80"/>
    </row>
    <row r="19" ht="15.75" customHeight="1">
      <c r="A19" s="83"/>
      <c r="B19" s="77"/>
      <c r="C19" s="77"/>
      <c r="D19" s="78"/>
      <c r="E19" s="79"/>
      <c r="F19" s="78"/>
      <c r="G19" s="78"/>
      <c r="H19" s="78"/>
      <c r="I19" s="78"/>
      <c r="J19" s="78"/>
      <c r="K19" s="80"/>
      <c r="L19" s="80"/>
    </row>
    <row r="20" ht="15.75" customHeight="1">
      <c r="A20" s="76" t="s">
        <v>207</v>
      </c>
      <c r="B20" s="87" t="s">
        <v>208</v>
      </c>
      <c r="C20" s="77" t="s">
        <v>209</v>
      </c>
      <c r="D20" s="81">
        <v>9.505089799E9</v>
      </c>
      <c r="E20" s="81" t="s">
        <v>210</v>
      </c>
      <c r="F20" s="78"/>
      <c r="G20" s="78"/>
      <c r="H20" s="78"/>
      <c r="I20" s="78"/>
      <c r="J20" s="78"/>
      <c r="K20" s="80"/>
      <c r="L20" s="80"/>
    </row>
    <row r="21" ht="15.75" customHeight="1">
      <c r="A21" s="83"/>
      <c r="B21" s="77"/>
      <c r="C21" s="77"/>
      <c r="D21" s="78"/>
      <c r="E21" s="79"/>
      <c r="F21" s="78"/>
      <c r="G21" s="78"/>
      <c r="H21" s="78"/>
      <c r="I21" s="78"/>
      <c r="J21" s="78"/>
      <c r="K21" s="80"/>
      <c r="L21" s="80"/>
    </row>
    <row r="22" ht="15.75" customHeight="1">
      <c r="A22" s="76" t="s">
        <v>211</v>
      </c>
      <c r="B22" s="77" t="s">
        <v>212</v>
      </c>
      <c r="C22" s="77" t="s">
        <v>212</v>
      </c>
      <c r="D22" s="77" t="s">
        <v>212</v>
      </c>
      <c r="E22" s="77" t="s">
        <v>212</v>
      </c>
      <c r="F22" s="78"/>
      <c r="G22" s="78"/>
      <c r="H22" s="78"/>
      <c r="I22" s="78"/>
      <c r="J22" s="78"/>
      <c r="K22" s="80"/>
      <c r="L22" s="80"/>
    </row>
    <row r="23" ht="15.75" customHeight="1">
      <c r="A23" s="83"/>
      <c r="B23" s="77"/>
      <c r="C23" s="77"/>
      <c r="D23" s="78"/>
      <c r="E23" s="79"/>
      <c r="F23" s="78"/>
      <c r="G23" s="78"/>
      <c r="H23" s="78"/>
      <c r="I23" s="78"/>
      <c r="J23" s="78"/>
      <c r="K23" s="80"/>
      <c r="L23" s="80"/>
    </row>
    <row r="24" ht="15.75" customHeight="1">
      <c r="A24" s="76" t="s">
        <v>213</v>
      </c>
      <c r="B24" s="87" t="s">
        <v>214</v>
      </c>
      <c r="C24" s="87" t="s">
        <v>215</v>
      </c>
      <c r="D24" s="88" t="s">
        <v>216</v>
      </c>
      <c r="E24" s="89" t="s">
        <v>217</v>
      </c>
      <c r="F24" s="80"/>
      <c r="G24" s="80"/>
      <c r="H24" s="80"/>
      <c r="I24" s="80"/>
      <c r="J24" s="80"/>
      <c r="K24" s="80"/>
      <c r="L24" s="80"/>
    </row>
    <row r="25" ht="15.75" customHeight="1">
      <c r="A25" s="90"/>
      <c r="B25" s="87"/>
      <c r="C25" s="87"/>
      <c r="D25" s="80"/>
      <c r="E25" s="91"/>
      <c r="F25" s="80"/>
      <c r="G25" s="80"/>
      <c r="H25" s="80"/>
      <c r="I25" s="80"/>
      <c r="J25" s="80"/>
      <c r="K25" s="80"/>
      <c r="L25" s="80"/>
    </row>
    <row r="26" ht="15.75" customHeight="1">
      <c r="A26" s="76" t="s">
        <v>218</v>
      </c>
      <c r="B26" s="87" t="s">
        <v>219</v>
      </c>
      <c r="C26" s="87" t="s">
        <v>219</v>
      </c>
      <c r="D26" s="87" t="s">
        <v>219</v>
      </c>
      <c r="E26" s="92" t="s">
        <v>220</v>
      </c>
      <c r="F26" s="80"/>
      <c r="G26" s="80"/>
      <c r="H26" s="80"/>
      <c r="I26" s="80"/>
      <c r="J26" s="80"/>
      <c r="K26" s="80"/>
      <c r="L26" s="80"/>
    </row>
    <row r="27" ht="15.75" customHeight="1">
      <c r="A27" s="90"/>
      <c r="B27" s="87"/>
      <c r="C27" s="87"/>
      <c r="D27" s="80"/>
      <c r="E27" s="91"/>
      <c r="F27" s="80"/>
      <c r="G27" s="80"/>
      <c r="H27" s="80"/>
      <c r="I27" s="80"/>
      <c r="J27" s="80"/>
      <c r="K27" s="80"/>
      <c r="L27" s="80"/>
    </row>
    <row r="28" ht="15.75" customHeight="1">
      <c r="A28" s="76" t="s">
        <v>221</v>
      </c>
      <c r="B28" s="87" t="s">
        <v>222</v>
      </c>
      <c r="C28" s="87" t="s">
        <v>222</v>
      </c>
      <c r="D28" s="87" t="s">
        <v>222</v>
      </c>
      <c r="E28" s="87" t="s">
        <v>222</v>
      </c>
      <c r="F28" s="80"/>
      <c r="G28" s="80"/>
      <c r="H28" s="80"/>
      <c r="I28" s="80"/>
      <c r="J28" s="80"/>
      <c r="K28" s="80"/>
      <c r="L28" s="80"/>
    </row>
    <row r="29" ht="15.75" customHeight="1">
      <c r="A29" s="90"/>
      <c r="B29" s="87"/>
      <c r="C29" s="87"/>
      <c r="D29" s="80"/>
      <c r="E29" s="91"/>
      <c r="F29" s="80"/>
      <c r="G29" s="80"/>
      <c r="H29" s="80"/>
      <c r="I29" s="80"/>
      <c r="J29" s="80"/>
      <c r="K29" s="80"/>
      <c r="L29" s="80"/>
    </row>
    <row r="30" ht="15.75" customHeight="1">
      <c r="A30" s="76" t="s">
        <v>223</v>
      </c>
      <c r="B30" s="87" t="s">
        <v>224</v>
      </c>
      <c r="C30" s="87" t="s">
        <v>224</v>
      </c>
      <c r="D30" s="89" t="s">
        <v>224</v>
      </c>
      <c r="E30" s="89" t="s">
        <v>225</v>
      </c>
      <c r="F30" s="80"/>
      <c r="G30" s="80"/>
      <c r="H30" s="80"/>
      <c r="I30" s="80"/>
      <c r="J30" s="80"/>
      <c r="K30" s="80"/>
      <c r="L30" s="80"/>
    </row>
    <row r="31" ht="15.75" customHeight="1">
      <c r="A31" s="90"/>
      <c r="B31" s="87"/>
      <c r="C31" s="87"/>
      <c r="D31" s="80"/>
      <c r="E31" s="91"/>
      <c r="F31" s="80"/>
      <c r="G31" s="80"/>
      <c r="H31" s="80"/>
      <c r="I31" s="80"/>
      <c r="J31" s="80"/>
      <c r="K31" s="80"/>
      <c r="L31" s="80"/>
    </row>
    <row r="32" ht="15.75" customHeight="1">
      <c r="A32" s="90"/>
      <c r="B32" s="87"/>
      <c r="C32" s="87"/>
      <c r="D32" s="80"/>
      <c r="E32" s="91"/>
      <c r="F32" s="80"/>
      <c r="G32" s="80"/>
      <c r="H32" s="80"/>
      <c r="I32" s="80"/>
      <c r="J32" s="80"/>
      <c r="K32" s="80"/>
      <c r="L32" s="80"/>
    </row>
    <row r="33" ht="15.75" customHeight="1">
      <c r="A33" s="90"/>
      <c r="B33" s="87"/>
      <c r="C33" s="87"/>
      <c r="D33" s="80"/>
      <c r="E33" s="91"/>
      <c r="F33" s="80"/>
      <c r="G33" s="80"/>
      <c r="H33" s="80"/>
      <c r="I33" s="80"/>
      <c r="J33" s="80"/>
      <c r="K33" s="80"/>
      <c r="L33" s="80"/>
    </row>
    <row r="34" ht="15.75" customHeight="1">
      <c r="A34" s="90"/>
      <c r="B34" s="87"/>
      <c r="C34" s="87"/>
      <c r="D34" s="80"/>
      <c r="E34" s="91"/>
      <c r="F34" s="80"/>
      <c r="G34" s="80"/>
      <c r="H34" s="80"/>
      <c r="I34" s="80"/>
      <c r="J34" s="80"/>
      <c r="K34" s="80"/>
      <c r="L34" s="80"/>
    </row>
    <row r="35" ht="15.75" customHeight="1">
      <c r="A35" s="90"/>
      <c r="B35" s="87"/>
      <c r="C35" s="87"/>
      <c r="D35" s="80"/>
      <c r="E35" s="91"/>
      <c r="F35" s="80"/>
      <c r="G35" s="80"/>
      <c r="H35" s="80"/>
      <c r="I35" s="80"/>
      <c r="J35" s="80"/>
      <c r="K35" s="80"/>
      <c r="L35" s="80"/>
    </row>
    <row r="36" ht="15.75" customHeight="1">
      <c r="A36" s="90"/>
      <c r="B36" s="87"/>
      <c r="C36" s="87"/>
      <c r="D36" s="80"/>
      <c r="E36" s="91"/>
      <c r="F36" s="80"/>
      <c r="G36" s="80"/>
      <c r="H36" s="80"/>
      <c r="I36" s="80"/>
      <c r="J36" s="80"/>
      <c r="K36" s="80"/>
      <c r="L36" s="80"/>
    </row>
    <row r="37" ht="15.75" customHeight="1">
      <c r="A37" s="90"/>
      <c r="B37" s="87"/>
      <c r="C37" s="87"/>
      <c r="D37" s="80"/>
      <c r="E37" s="91"/>
      <c r="F37" s="80"/>
      <c r="G37" s="80"/>
      <c r="H37" s="80"/>
      <c r="I37" s="80"/>
      <c r="J37" s="80"/>
      <c r="K37" s="80"/>
      <c r="L37" s="80"/>
    </row>
    <row r="38" ht="15.75" customHeight="1">
      <c r="A38" s="75"/>
      <c r="B38" s="93"/>
      <c r="C38" s="93"/>
      <c r="E38" s="58"/>
    </row>
    <row r="39" ht="15.75" customHeight="1">
      <c r="A39" s="75"/>
      <c r="B39" s="93"/>
      <c r="C39" s="93"/>
      <c r="E39" s="58"/>
    </row>
    <row r="40" ht="15.75" customHeight="1">
      <c r="A40" s="75"/>
      <c r="B40" s="93"/>
      <c r="C40" s="93"/>
      <c r="E40" s="58"/>
    </row>
    <row r="41" ht="15.75" customHeight="1">
      <c r="A41" s="75"/>
      <c r="B41" s="93"/>
      <c r="C41" s="93"/>
      <c r="E41" s="58"/>
    </row>
    <row r="42" ht="15.75" customHeight="1">
      <c r="A42" s="75"/>
      <c r="B42" s="93"/>
      <c r="C42" s="93"/>
      <c r="E42" s="58"/>
    </row>
    <row r="43" ht="15.75" customHeight="1">
      <c r="A43" s="75"/>
      <c r="B43" s="93"/>
      <c r="C43" s="93"/>
      <c r="E43" s="58"/>
    </row>
    <row r="44" ht="15.75" customHeight="1">
      <c r="A44" s="75"/>
      <c r="B44" s="93"/>
      <c r="C44" s="93"/>
      <c r="E44" s="58"/>
    </row>
    <row r="45" ht="15.75" customHeight="1">
      <c r="A45" s="75"/>
      <c r="B45" s="93"/>
      <c r="C45" s="93"/>
      <c r="E45" s="58"/>
    </row>
    <row r="46" ht="15.75" customHeight="1">
      <c r="A46" s="75"/>
      <c r="B46" s="93"/>
      <c r="C46" s="93"/>
      <c r="E46" s="58"/>
    </row>
    <row r="47" ht="15.75" customHeight="1">
      <c r="A47" s="75"/>
      <c r="B47" s="93"/>
      <c r="C47" s="93"/>
      <c r="E47" s="58"/>
    </row>
    <row r="48" ht="15.75" customHeight="1">
      <c r="A48" s="75"/>
      <c r="B48" s="93"/>
      <c r="C48" s="93"/>
      <c r="E48" s="58"/>
    </row>
    <row r="49" ht="15.75" customHeight="1">
      <c r="A49" s="75"/>
      <c r="B49" s="93"/>
      <c r="C49" s="93"/>
      <c r="E49" s="58"/>
    </row>
    <row r="50" ht="15.75" customHeight="1">
      <c r="A50" s="75"/>
      <c r="B50" s="93"/>
      <c r="C50" s="93"/>
      <c r="E50" s="58"/>
    </row>
    <row r="51" ht="15.75" customHeight="1">
      <c r="A51" s="75"/>
      <c r="B51" s="93"/>
      <c r="C51" s="93"/>
      <c r="E51" s="58"/>
    </row>
    <row r="52" ht="15.75" customHeight="1">
      <c r="A52" s="75"/>
      <c r="B52" s="93"/>
      <c r="C52" s="93"/>
      <c r="E52" s="58"/>
    </row>
    <row r="53" ht="15.75" customHeight="1">
      <c r="A53" s="75"/>
      <c r="B53" s="93"/>
      <c r="C53" s="93"/>
      <c r="E53" s="58"/>
    </row>
    <row r="54" ht="15.75" customHeight="1">
      <c r="A54" s="75"/>
      <c r="B54" s="93"/>
      <c r="C54" s="93"/>
      <c r="E54" s="58"/>
    </row>
    <row r="55" ht="15.75" customHeight="1">
      <c r="A55" s="75"/>
      <c r="B55" s="93"/>
      <c r="C55" s="93"/>
      <c r="E55" s="58"/>
    </row>
    <row r="56" ht="15.75" customHeight="1">
      <c r="A56" s="75"/>
      <c r="B56" s="93"/>
      <c r="C56" s="93"/>
      <c r="E56" s="58"/>
    </row>
    <row r="57" ht="15.75" customHeight="1">
      <c r="A57" s="75"/>
      <c r="B57" s="93"/>
      <c r="C57" s="93"/>
      <c r="E57" s="58"/>
    </row>
    <row r="58" ht="15.75" customHeight="1">
      <c r="A58" s="75"/>
      <c r="B58" s="93"/>
      <c r="C58" s="93"/>
      <c r="E58" s="58"/>
    </row>
    <row r="59" ht="15.75" customHeight="1">
      <c r="A59" s="75"/>
      <c r="B59" s="93"/>
      <c r="C59" s="93"/>
      <c r="E59" s="58"/>
    </row>
    <row r="60" ht="15.75" customHeight="1">
      <c r="A60" s="75"/>
      <c r="B60" s="93"/>
      <c r="C60" s="93"/>
      <c r="E60" s="58"/>
    </row>
    <row r="61" ht="15.75" customHeight="1">
      <c r="A61" s="75"/>
      <c r="B61" s="93"/>
      <c r="C61" s="93"/>
      <c r="E61" s="58"/>
    </row>
    <row r="62" ht="15.75" customHeight="1">
      <c r="A62" s="75"/>
      <c r="B62" s="93"/>
      <c r="C62" s="93"/>
      <c r="E62" s="58"/>
    </row>
    <row r="63" ht="15.75" customHeight="1">
      <c r="A63" s="75"/>
      <c r="B63" s="93"/>
      <c r="C63" s="93"/>
      <c r="E63" s="58"/>
    </row>
    <row r="64" ht="15.75" customHeight="1">
      <c r="A64" s="75"/>
      <c r="B64" s="93"/>
      <c r="C64" s="93"/>
      <c r="E64" s="58"/>
    </row>
    <row r="65" ht="15.75" customHeight="1">
      <c r="A65" s="75"/>
      <c r="B65" s="93"/>
      <c r="C65" s="93"/>
      <c r="E65" s="58"/>
    </row>
    <row r="66" ht="15.75" customHeight="1">
      <c r="A66" s="75"/>
      <c r="B66" s="93"/>
      <c r="C66" s="93"/>
      <c r="E66" s="58"/>
    </row>
    <row r="67" ht="15.75" customHeight="1">
      <c r="A67" s="75"/>
      <c r="B67" s="93"/>
      <c r="C67" s="93"/>
      <c r="E67" s="58"/>
    </row>
    <row r="68" ht="15.75" customHeight="1">
      <c r="A68" s="75"/>
      <c r="B68" s="93"/>
      <c r="C68" s="93"/>
      <c r="E68" s="58"/>
    </row>
    <row r="69" ht="15.75" customHeight="1">
      <c r="A69" s="75"/>
      <c r="B69" s="93"/>
      <c r="C69" s="93"/>
      <c r="E69" s="58"/>
    </row>
    <row r="70" ht="15.75" customHeight="1">
      <c r="A70" s="75"/>
      <c r="B70" s="93"/>
      <c r="C70" s="93"/>
      <c r="E70" s="58"/>
    </row>
    <row r="71" ht="15.75" customHeight="1">
      <c r="A71" s="75"/>
      <c r="B71" s="93"/>
      <c r="C71" s="93"/>
      <c r="E71" s="58"/>
    </row>
    <row r="72" ht="15.75" customHeight="1">
      <c r="A72" s="75"/>
      <c r="B72" s="93"/>
      <c r="C72" s="93"/>
      <c r="E72" s="58"/>
    </row>
    <row r="73" ht="15.75" customHeight="1">
      <c r="A73" s="75"/>
      <c r="B73" s="93"/>
      <c r="C73" s="93"/>
      <c r="E73" s="58"/>
    </row>
    <row r="74" ht="15.75" customHeight="1">
      <c r="A74" s="75"/>
      <c r="B74" s="93"/>
      <c r="C74" s="93"/>
      <c r="E74" s="58"/>
    </row>
    <row r="75" ht="15.75" customHeight="1">
      <c r="A75" s="75"/>
      <c r="B75" s="93"/>
      <c r="C75" s="93"/>
      <c r="E75" s="58"/>
    </row>
    <row r="76" ht="15.75" customHeight="1">
      <c r="A76" s="75"/>
      <c r="B76" s="93"/>
      <c r="C76" s="93"/>
      <c r="E76" s="58"/>
    </row>
    <row r="77" ht="15.75" customHeight="1">
      <c r="A77" s="75"/>
      <c r="B77" s="93"/>
      <c r="C77" s="93"/>
      <c r="E77" s="58"/>
    </row>
    <row r="78" ht="15.75" customHeight="1">
      <c r="A78" s="75"/>
      <c r="B78" s="93"/>
      <c r="C78" s="93"/>
      <c r="E78" s="58"/>
    </row>
    <row r="79" ht="15.75" customHeight="1">
      <c r="A79" s="75"/>
      <c r="B79" s="93"/>
      <c r="C79" s="93"/>
      <c r="E79" s="58"/>
    </row>
    <row r="80" ht="15.75" customHeight="1">
      <c r="A80" s="75"/>
      <c r="B80" s="93"/>
      <c r="C80" s="93"/>
      <c r="E80" s="58"/>
    </row>
    <row r="81" ht="15.75" customHeight="1">
      <c r="A81" s="75"/>
      <c r="B81" s="93"/>
      <c r="C81" s="93"/>
      <c r="E81" s="58"/>
    </row>
    <row r="82" ht="15.75" customHeight="1">
      <c r="A82" s="75"/>
      <c r="B82" s="93"/>
      <c r="C82" s="93"/>
      <c r="E82" s="58"/>
    </row>
    <row r="83" ht="15.75" customHeight="1">
      <c r="A83" s="75"/>
      <c r="B83" s="93"/>
      <c r="C83" s="93"/>
      <c r="E83" s="58"/>
    </row>
    <row r="84" ht="15.75" customHeight="1">
      <c r="A84" s="75"/>
      <c r="B84" s="93"/>
      <c r="C84" s="93"/>
      <c r="E84" s="58"/>
    </row>
    <row r="85" ht="15.75" customHeight="1">
      <c r="A85" s="75"/>
      <c r="B85" s="93"/>
      <c r="C85" s="93"/>
      <c r="E85" s="58"/>
    </row>
    <row r="86" ht="15.75" customHeight="1">
      <c r="A86" s="75"/>
      <c r="B86" s="93"/>
      <c r="C86" s="93"/>
      <c r="E86" s="58"/>
    </row>
    <row r="87" ht="15.75" customHeight="1">
      <c r="A87" s="75"/>
      <c r="B87" s="93"/>
      <c r="C87" s="93"/>
      <c r="E87" s="58"/>
    </row>
    <row r="88" ht="15.75" customHeight="1">
      <c r="A88" s="75"/>
      <c r="B88" s="93"/>
      <c r="C88" s="93"/>
      <c r="E88" s="58"/>
    </row>
    <row r="89" ht="15.75" customHeight="1">
      <c r="A89" s="75"/>
      <c r="B89" s="93"/>
      <c r="C89" s="93"/>
      <c r="E89" s="58"/>
    </row>
    <row r="90" ht="15.75" customHeight="1">
      <c r="A90" s="75"/>
      <c r="B90" s="93"/>
      <c r="C90" s="93"/>
      <c r="E90" s="58"/>
    </row>
    <row r="91" ht="15.75" customHeight="1">
      <c r="A91" s="75"/>
      <c r="B91" s="93"/>
      <c r="C91" s="93"/>
      <c r="E91" s="58"/>
    </row>
    <row r="92" ht="15.75" customHeight="1">
      <c r="A92" s="75"/>
      <c r="B92" s="93"/>
      <c r="C92" s="93"/>
      <c r="E92" s="58"/>
    </row>
    <row r="93" ht="15.75" customHeight="1">
      <c r="A93" s="75"/>
      <c r="B93" s="93"/>
      <c r="C93" s="93"/>
      <c r="E93" s="58"/>
    </row>
    <row r="94" ht="15.75" customHeight="1">
      <c r="A94" s="75"/>
      <c r="B94" s="93"/>
      <c r="C94" s="93"/>
      <c r="E94" s="58"/>
    </row>
    <row r="95" ht="15.75" customHeight="1">
      <c r="A95" s="75"/>
      <c r="B95" s="93"/>
      <c r="C95" s="93"/>
      <c r="E95" s="58"/>
    </row>
    <row r="96" ht="15.75" customHeight="1">
      <c r="A96" s="75"/>
      <c r="B96" s="93"/>
      <c r="C96" s="93"/>
      <c r="E96" s="58"/>
    </row>
    <row r="97" ht="15.75" customHeight="1">
      <c r="A97" s="75"/>
      <c r="B97" s="93"/>
      <c r="C97" s="93"/>
      <c r="E97" s="58"/>
    </row>
    <row r="98" ht="15.75" customHeight="1">
      <c r="A98" s="75"/>
      <c r="B98" s="93"/>
      <c r="C98" s="93"/>
      <c r="E98" s="58"/>
    </row>
    <row r="99" ht="15.75" customHeight="1">
      <c r="A99" s="75"/>
      <c r="B99" s="93"/>
      <c r="C99" s="93"/>
      <c r="E99" s="58"/>
    </row>
    <row r="100" ht="15.75" customHeight="1">
      <c r="A100" s="75"/>
      <c r="B100" s="93"/>
      <c r="C100" s="93"/>
      <c r="E100" s="58"/>
    </row>
    <row r="101" ht="15.75" customHeight="1">
      <c r="A101" s="75"/>
      <c r="B101" s="93"/>
      <c r="C101" s="93"/>
      <c r="E101" s="58"/>
    </row>
    <row r="102" ht="15.75" customHeight="1">
      <c r="A102" s="75"/>
      <c r="B102" s="93"/>
      <c r="C102" s="93"/>
      <c r="E102" s="58"/>
    </row>
    <row r="103" ht="15.75" customHeight="1">
      <c r="A103" s="75"/>
      <c r="B103" s="93"/>
      <c r="C103" s="93"/>
      <c r="E103" s="58"/>
    </row>
    <row r="104" ht="15.75" customHeight="1">
      <c r="A104" s="75"/>
      <c r="B104" s="93"/>
      <c r="C104" s="93"/>
      <c r="E104" s="58"/>
    </row>
    <row r="105" ht="15.75" customHeight="1">
      <c r="A105" s="75"/>
      <c r="B105" s="93"/>
      <c r="C105" s="93"/>
      <c r="E105" s="58"/>
    </row>
    <row r="106" ht="15.75" customHeight="1">
      <c r="A106" s="75"/>
      <c r="B106" s="93"/>
      <c r="C106" s="93"/>
      <c r="E106" s="58"/>
    </row>
    <row r="107" ht="15.75" customHeight="1">
      <c r="A107" s="75"/>
      <c r="B107" s="93"/>
      <c r="C107" s="93"/>
      <c r="E107" s="58"/>
    </row>
    <row r="108" ht="15.75" customHeight="1">
      <c r="A108" s="75"/>
      <c r="B108" s="93"/>
      <c r="C108" s="93"/>
      <c r="E108" s="58"/>
    </row>
    <row r="109" ht="15.75" customHeight="1">
      <c r="A109" s="75"/>
      <c r="B109" s="93"/>
      <c r="C109" s="93"/>
      <c r="E109" s="58"/>
    </row>
    <row r="110" ht="15.75" customHeight="1">
      <c r="A110" s="75"/>
      <c r="B110" s="93"/>
      <c r="C110" s="93"/>
      <c r="E110" s="58"/>
    </row>
    <row r="111" ht="15.75" customHeight="1">
      <c r="A111" s="75"/>
      <c r="B111" s="93"/>
      <c r="C111" s="93"/>
      <c r="E111" s="58"/>
    </row>
    <row r="112" ht="15.75" customHeight="1">
      <c r="A112" s="75"/>
      <c r="B112" s="93"/>
      <c r="C112" s="93"/>
      <c r="E112" s="58"/>
    </row>
    <row r="113" ht="15.75" customHeight="1">
      <c r="A113" s="75"/>
      <c r="B113" s="93"/>
      <c r="C113" s="93"/>
      <c r="E113" s="58"/>
    </row>
    <row r="114" ht="15.75" customHeight="1">
      <c r="A114" s="75"/>
      <c r="B114" s="93"/>
      <c r="C114" s="93"/>
      <c r="E114" s="58"/>
    </row>
    <row r="115" ht="15.75" customHeight="1">
      <c r="A115" s="75"/>
      <c r="B115" s="93"/>
      <c r="C115" s="93"/>
      <c r="E115" s="58"/>
    </row>
    <row r="116" ht="15.75" customHeight="1">
      <c r="A116" s="75"/>
      <c r="B116" s="93"/>
      <c r="C116" s="93"/>
      <c r="E116" s="58"/>
    </row>
    <row r="117" ht="15.75" customHeight="1">
      <c r="A117" s="75"/>
      <c r="B117" s="93"/>
      <c r="C117" s="93"/>
      <c r="E117" s="58"/>
    </row>
    <row r="118" ht="15.75" customHeight="1">
      <c r="A118" s="75"/>
      <c r="B118" s="93"/>
      <c r="C118" s="93"/>
      <c r="E118" s="58"/>
    </row>
    <row r="119" ht="15.75" customHeight="1">
      <c r="A119" s="75"/>
      <c r="B119" s="93"/>
      <c r="C119" s="93"/>
      <c r="E119" s="58"/>
    </row>
    <row r="120" ht="15.75" customHeight="1">
      <c r="A120" s="75"/>
      <c r="B120" s="93"/>
      <c r="C120" s="93"/>
      <c r="E120" s="58"/>
    </row>
    <row r="121" ht="15.75" customHeight="1">
      <c r="A121" s="75"/>
      <c r="B121" s="93"/>
      <c r="C121" s="93"/>
      <c r="E121" s="58"/>
    </row>
    <row r="122" ht="15.75" customHeight="1">
      <c r="A122" s="75"/>
      <c r="B122" s="93"/>
      <c r="C122" s="93"/>
      <c r="E122" s="58"/>
    </row>
    <row r="123" ht="15.75" customHeight="1">
      <c r="A123" s="75"/>
      <c r="B123" s="93"/>
      <c r="C123" s="93"/>
      <c r="E123" s="58"/>
    </row>
    <row r="124" ht="15.75" customHeight="1">
      <c r="A124" s="75"/>
      <c r="B124" s="93"/>
      <c r="C124" s="93"/>
      <c r="E124" s="58"/>
    </row>
    <row r="125" ht="15.75" customHeight="1">
      <c r="A125" s="75"/>
      <c r="B125" s="93"/>
      <c r="C125" s="93"/>
      <c r="E125" s="58"/>
    </row>
    <row r="126" ht="15.75" customHeight="1">
      <c r="A126" s="75"/>
      <c r="B126" s="93"/>
      <c r="C126" s="93"/>
      <c r="E126" s="58"/>
    </row>
    <row r="127" ht="15.75" customHeight="1">
      <c r="A127" s="75"/>
      <c r="B127" s="93"/>
      <c r="C127" s="93"/>
      <c r="E127" s="58"/>
    </row>
    <row r="128" ht="15.75" customHeight="1">
      <c r="A128" s="75"/>
      <c r="B128" s="93"/>
      <c r="C128" s="93"/>
      <c r="E128" s="58"/>
    </row>
    <row r="129" ht="15.75" customHeight="1">
      <c r="A129" s="75"/>
      <c r="B129" s="93"/>
      <c r="C129" s="93"/>
      <c r="E129" s="58"/>
    </row>
    <row r="130" ht="15.75" customHeight="1">
      <c r="A130" s="75"/>
      <c r="B130" s="93"/>
      <c r="C130" s="93"/>
      <c r="E130" s="58"/>
    </row>
    <row r="131" ht="15.75" customHeight="1">
      <c r="A131" s="75"/>
      <c r="B131" s="93"/>
      <c r="C131" s="93"/>
      <c r="E131" s="58"/>
    </row>
    <row r="132" ht="15.75" customHeight="1">
      <c r="A132" s="75"/>
      <c r="B132" s="93"/>
      <c r="C132" s="93"/>
      <c r="E132" s="58"/>
    </row>
    <row r="133" ht="15.75" customHeight="1">
      <c r="A133" s="75"/>
      <c r="B133" s="93"/>
      <c r="C133" s="93"/>
      <c r="E133" s="58"/>
    </row>
    <row r="134" ht="15.75" customHeight="1">
      <c r="A134" s="75"/>
      <c r="B134" s="93"/>
      <c r="C134" s="93"/>
      <c r="E134" s="58"/>
    </row>
    <row r="135" ht="15.75" customHeight="1">
      <c r="A135" s="75"/>
      <c r="B135" s="93"/>
      <c r="C135" s="93"/>
      <c r="E135" s="58"/>
    </row>
    <row r="136" ht="15.75" customHeight="1">
      <c r="A136" s="75"/>
      <c r="B136" s="93"/>
      <c r="C136" s="93"/>
      <c r="E136" s="58"/>
    </row>
    <row r="137" ht="15.75" customHeight="1">
      <c r="A137" s="75"/>
      <c r="B137" s="93"/>
      <c r="C137" s="93"/>
      <c r="E137" s="58"/>
    </row>
    <row r="138" ht="15.75" customHeight="1">
      <c r="A138" s="75"/>
      <c r="B138" s="93"/>
      <c r="C138" s="93"/>
      <c r="E138" s="58"/>
    </row>
    <row r="139" ht="15.75" customHeight="1">
      <c r="A139" s="75"/>
      <c r="B139" s="93"/>
      <c r="C139" s="93"/>
      <c r="E139" s="58"/>
    </row>
    <row r="140" ht="15.75" customHeight="1">
      <c r="A140" s="75"/>
      <c r="B140" s="93"/>
      <c r="C140" s="93"/>
      <c r="E140" s="58"/>
    </row>
    <row r="141" ht="15.75" customHeight="1">
      <c r="A141" s="75"/>
      <c r="B141" s="93"/>
      <c r="C141" s="93"/>
      <c r="E141" s="58"/>
    </row>
    <row r="142" ht="15.75" customHeight="1">
      <c r="A142" s="75"/>
      <c r="B142" s="93"/>
      <c r="C142" s="93"/>
      <c r="E142" s="58"/>
    </row>
    <row r="143" ht="15.75" customHeight="1">
      <c r="A143" s="75"/>
      <c r="B143" s="93"/>
      <c r="C143" s="93"/>
      <c r="E143" s="58"/>
    </row>
    <row r="144" ht="15.75" customHeight="1">
      <c r="A144" s="75"/>
      <c r="B144" s="93"/>
      <c r="C144" s="93"/>
      <c r="E144" s="58"/>
    </row>
    <row r="145" ht="15.75" customHeight="1">
      <c r="A145" s="75"/>
      <c r="B145" s="93"/>
      <c r="C145" s="93"/>
      <c r="E145" s="58"/>
    </row>
    <row r="146" ht="15.75" customHeight="1">
      <c r="A146" s="75"/>
      <c r="B146" s="93"/>
      <c r="C146" s="93"/>
      <c r="E146" s="58"/>
    </row>
    <row r="147" ht="15.75" customHeight="1">
      <c r="A147" s="75"/>
      <c r="B147" s="93"/>
      <c r="C147" s="93"/>
      <c r="E147" s="58"/>
    </row>
    <row r="148" ht="15.75" customHeight="1">
      <c r="A148" s="75"/>
      <c r="B148" s="93"/>
      <c r="C148" s="93"/>
      <c r="E148" s="58"/>
    </row>
    <row r="149" ht="15.75" customHeight="1">
      <c r="A149" s="75"/>
      <c r="B149" s="93"/>
      <c r="C149" s="93"/>
      <c r="E149" s="58"/>
    </row>
    <row r="150" ht="15.75" customHeight="1">
      <c r="A150" s="75"/>
      <c r="B150" s="93"/>
      <c r="C150" s="93"/>
      <c r="E150" s="58"/>
    </row>
    <row r="151" ht="15.75" customHeight="1">
      <c r="A151" s="75"/>
      <c r="B151" s="93"/>
      <c r="C151" s="93"/>
      <c r="E151" s="58"/>
    </row>
    <row r="152" ht="15.75" customHeight="1">
      <c r="A152" s="75"/>
      <c r="B152" s="93"/>
      <c r="C152" s="93"/>
      <c r="E152" s="58"/>
    </row>
    <row r="153" ht="15.75" customHeight="1">
      <c r="A153" s="75"/>
      <c r="B153" s="93"/>
      <c r="C153" s="93"/>
      <c r="E153" s="58"/>
    </row>
    <row r="154" ht="15.75" customHeight="1">
      <c r="A154" s="75"/>
      <c r="B154" s="93"/>
      <c r="C154" s="93"/>
      <c r="E154" s="58"/>
    </row>
    <row r="155" ht="15.75" customHeight="1">
      <c r="A155" s="75"/>
      <c r="B155" s="93"/>
      <c r="C155" s="93"/>
      <c r="E155" s="58"/>
    </row>
    <row r="156" ht="15.75" customHeight="1">
      <c r="A156" s="75"/>
      <c r="B156" s="93"/>
      <c r="C156" s="93"/>
      <c r="E156" s="58"/>
    </row>
    <row r="157" ht="15.75" customHeight="1">
      <c r="A157" s="75"/>
      <c r="B157" s="93"/>
      <c r="C157" s="93"/>
      <c r="E157" s="58"/>
    </row>
    <row r="158" ht="15.75" customHeight="1">
      <c r="A158" s="75"/>
      <c r="B158" s="93"/>
      <c r="C158" s="93"/>
      <c r="E158" s="58"/>
    </row>
    <row r="159" ht="15.75" customHeight="1">
      <c r="A159" s="75"/>
      <c r="B159" s="93"/>
      <c r="C159" s="93"/>
      <c r="E159" s="58"/>
    </row>
    <row r="160" ht="15.75" customHeight="1">
      <c r="A160" s="75"/>
      <c r="B160" s="93"/>
      <c r="C160" s="93"/>
      <c r="E160" s="58"/>
    </row>
    <row r="161" ht="15.75" customHeight="1">
      <c r="A161" s="75"/>
      <c r="B161" s="93"/>
      <c r="C161" s="93"/>
      <c r="E161" s="58"/>
    </row>
    <row r="162" ht="15.75" customHeight="1">
      <c r="A162" s="75"/>
      <c r="B162" s="93"/>
      <c r="C162" s="93"/>
      <c r="E162" s="58"/>
    </row>
    <row r="163" ht="15.75" customHeight="1">
      <c r="A163" s="75"/>
      <c r="B163" s="93"/>
      <c r="C163" s="93"/>
      <c r="E163" s="58"/>
    </row>
    <row r="164" ht="15.75" customHeight="1">
      <c r="A164" s="75"/>
      <c r="B164" s="93"/>
      <c r="C164" s="93"/>
      <c r="E164" s="58"/>
    </row>
    <row r="165" ht="15.75" customHeight="1">
      <c r="A165" s="75"/>
      <c r="B165" s="93"/>
      <c r="C165" s="93"/>
      <c r="E165" s="58"/>
    </row>
    <row r="166" ht="15.75" customHeight="1">
      <c r="A166" s="75"/>
      <c r="B166" s="93"/>
      <c r="C166" s="93"/>
      <c r="E166" s="58"/>
    </row>
    <row r="167" ht="15.75" customHeight="1">
      <c r="A167" s="75"/>
      <c r="B167" s="93"/>
      <c r="C167" s="93"/>
      <c r="E167" s="58"/>
    </row>
    <row r="168" ht="15.75" customHeight="1">
      <c r="A168" s="75"/>
      <c r="B168" s="93"/>
      <c r="C168" s="93"/>
      <c r="E168" s="58"/>
    </row>
    <row r="169" ht="15.75" customHeight="1">
      <c r="A169" s="75"/>
      <c r="B169" s="93"/>
      <c r="C169" s="93"/>
      <c r="E169" s="58"/>
    </row>
    <row r="170" ht="15.75" customHeight="1">
      <c r="A170" s="75"/>
      <c r="B170" s="93"/>
      <c r="C170" s="93"/>
      <c r="E170" s="58"/>
    </row>
    <row r="171" ht="15.75" customHeight="1">
      <c r="A171" s="75"/>
      <c r="B171" s="93"/>
      <c r="C171" s="93"/>
      <c r="E171" s="58"/>
    </row>
    <row r="172" ht="15.75" customHeight="1">
      <c r="A172" s="75"/>
      <c r="B172" s="93"/>
      <c r="C172" s="93"/>
      <c r="E172" s="58"/>
    </row>
    <row r="173" ht="15.75" customHeight="1">
      <c r="A173" s="75"/>
      <c r="B173" s="93"/>
      <c r="C173" s="93"/>
      <c r="E173" s="58"/>
    </row>
    <row r="174" ht="15.75" customHeight="1">
      <c r="A174" s="75"/>
      <c r="B174" s="93"/>
      <c r="C174" s="93"/>
      <c r="E174" s="58"/>
    </row>
    <row r="175" ht="15.75" customHeight="1">
      <c r="A175" s="75"/>
      <c r="B175" s="93"/>
      <c r="C175" s="93"/>
      <c r="E175" s="58"/>
    </row>
    <row r="176" ht="15.75" customHeight="1">
      <c r="A176" s="75"/>
      <c r="B176" s="93"/>
      <c r="C176" s="93"/>
      <c r="E176" s="58"/>
    </row>
    <row r="177" ht="15.75" customHeight="1">
      <c r="A177" s="75"/>
      <c r="B177" s="93"/>
      <c r="C177" s="93"/>
      <c r="E177" s="58"/>
    </row>
    <row r="178" ht="15.75" customHeight="1">
      <c r="A178" s="75"/>
      <c r="B178" s="93"/>
      <c r="C178" s="93"/>
      <c r="E178" s="58"/>
    </row>
    <row r="179" ht="15.75" customHeight="1">
      <c r="A179" s="75"/>
      <c r="B179" s="93"/>
      <c r="C179" s="93"/>
      <c r="E179" s="58"/>
    </row>
    <row r="180" ht="15.75" customHeight="1">
      <c r="A180" s="75"/>
      <c r="B180" s="93"/>
      <c r="C180" s="93"/>
      <c r="E180" s="58"/>
    </row>
    <row r="181" ht="15.75" customHeight="1">
      <c r="A181" s="75"/>
      <c r="B181" s="93"/>
      <c r="C181" s="93"/>
      <c r="E181" s="58"/>
    </row>
    <row r="182" ht="15.75" customHeight="1">
      <c r="A182" s="75"/>
      <c r="B182" s="93"/>
      <c r="C182" s="93"/>
      <c r="E182" s="58"/>
    </row>
    <row r="183" ht="15.75" customHeight="1">
      <c r="A183" s="75"/>
      <c r="B183" s="93"/>
      <c r="C183" s="93"/>
      <c r="E183" s="58"/>
    </row>
    <row r="184" ht="15.75" customHeight="1">
      <c r="A184" s="75"/>
      <c r="B184" s="93"/>
      <c r="C184" s="93"/>
      <c r="E184" s="58"/>
    </row>
    <row r="185" ht="15.75" customHeight="1">
      <c r="A185" s="75"/>
      <c r="B185" s="93"/>
      <c r="C185" s="93"/>
      <c r="E185" s="58"/>
    </row>
    <row r="186" ht="15.75" customHeight="1">
      <c r="A186" s="75"/>
      <c r="B186" s="93"/>
      <c r="C186" s="93"/>
      <c r="E186" s="58"/>
    </row>
    <row r="187" ht="15.75" customHeight="1">
      <c r="A187" s="75"/>
      <c r="B187" s="93"/>
      <c r="C187" s="93"/>
      <c r="E187" s="58"/>
    </row>
    <row r="188" ht="15.75" customHeight="1">
      <c r="A188" s="75"/>
      <c r="B188" s="93"/>
      <c r="C188" s="93"/>
      <c r="E188" s="58"/>
    </row>
    <row r="189" ht="15.75" customHeight="1">
      <c r="A189" s="75"/>
      <c r="B189" s="93"/>
      <c r="C189" s="93"/>
      <c r="E189" s="58"/>
    </row>
    <row r="190" ht="15.75" customHeight="1">
      <c r="A190" s="75"/>
      <c r="B190" s="93"/>
      <c r="C190" s="93"/>
      <c r="E190" s="58"/>
    </row>
    <row r="191" ht="15.75" customHeight="1">
      <c r="A191" s="75"/>
      <c r="B191" s="93"/>
      <c r="C191" s="93"/>
      <c r="E191" s="58"/>
    </row>
    <row r="192" ht="15.75" customHeight="1">
      <c r="A192" s="75"/>
      <c r="B192" s="93"/>
      <c r="C192" s="93"/>
      <c r="E192" s="58"/>
    </row>
    <row r="193" ht="15.75" customHeight="1">
      <c r="A193" s="75"/>
      <c r="B193" s="93"/>
      <c r="C193" s="93"/>
      <c r="E193" s="58"/>
    </row>
    <row r="194" ht="15.75" customHeight="1">
      <c r="A194" s="75"/>
      <c r="B194" s="93"/>
      <c r="C194" s="93"/>
      <c r="E194" s="58"/>
    </row>
    <row r="195" ht="15.75" customHeight="1">
      <c r="A195" s="75"/>
      <c r="B195" s="93"/>
      <c r="C195" s="93"/>
      <c r="E195" s="58"/>
    </row>
    <row r="196" ht="15.75" customHeight="1">
      <c r="A196" s="75"/>
      <c r="B196" s="93"/>
      <c r="C196" s="93"/>
      <c r="E196" s="58"/>
    </row>
    <row r="197" ht="15.75" customHeight="1">
      <c r="A197" s="75"/>
      <c r="B197" s="93"/>
      <c r="C197" s="93"/>
      <c r="E197" s="58"/>
    </row>
    <row r="198" ht="15.75" customHeight="1">
      <c r="A198" s="75"/>
      <c r="B198" s="93"/>
      <c r="C198" s="93"/>
      <c r="E198" s="58"/>
    </row>
    <row r="199" ht="15.75" customHeight="1">
      <c r="A199" s="75"/>
      <c r="B199" s="93"/>
      <c r="C199" s="93"/>
      <c r="E199" s="58"/>
    </row>
    <row r="200" ht="15.75" customHeight="1">
      <c r="A200" s="75"/>
      <c r="B200" s="93"/>
      <c r="C200" s="93"/>
      <c r="E200" s="58"/>
    </row>
    <row r="201" ht="15.75" customHeight="1">
      <c r="A201" s="75"/>
      <c r="B201" s="93"/>
      <c r="C201" s="93"/>
      <c r="E201" s="58"/>
    </row>
    <row r="202" ht="15.75" customHeight="1">
      <c r="A202" s="75"/>
      <c r="B202" s="93"/>
      <c r="C202" s="93"/>
      <c r="E202" s="58"/>
    </row>
    <row r="203" ht="15.75" customHeight="1">
      <c r="A203" s="75"/>
      <c r="B203" s="93"/>
      <c r="C203" s="93"/>
      <c r="E203" s="58"/>
    </row>
    <row r="204" ht="15.75" customHeight="1">
      <c r="A204" s="75"/>
      <c r="B204" s="93"/>
      <c r="C204" s="93"/>
      <c r="E204" s="58"/>
    </row>
    <row r="205" ht="15.75" customHeight="1">
      <c r="A205" s="75"/>
      <c r="B205" s="93"/>
      <c r="C205" s="93"/>
      <c r="E205" s="58"/>
    </row>
    <row r="206" ht="15.75" customHeight="1">
      <c r="A206" s="75"/>
      <c r="B206" s="93"/>
      <c r="C206" s="93"/>
      <c r="E206" s="58"/>
    </row>
    <row r="207" ht="15.75" customHeight="1">
      <c r="A207" s="75"/>
      <c r="B207" s="93"/>
      <c r="C207" s="93"/>
      <c r="E207" s="58"/>
    </row>
    <row r="208" ht="15.75" customHeight="1">
      <c r="A208" s="75"/>
      <c r="B208" s="93"/>
      <c r="C208" s="93"/>
      <c r="E208" s="58"/>
    </row>
    <row r="209" ht="15.75" customHeight="1">
      <c r="A209" s="75"/>
      <c r="B209" s="93"/>
      <c r="C209" s="93"/>
      <c r="E209" s="58"/>
    </row>
    <row r="210" ht="15.75" customHeight="1">
      <c r="A210" s="75"/>
      <c r="B210" s="93"/>
      <c r="C210" s="93"/>
      <c r="E210" s="58"/>
    </row>
    <row r="211" ht="15.75" customHeight="1">
      <c r="A211" s="75"/>
      <c r="B211" s="93"/>
      <c r="C211" s="93"/>
      <c r="E211" s="58"/>
    </row>
    <row r="212" ht="15.75" customHeight="1">
      <c r="A212" s="75"/>
      <c r="B212" s="93"/>
      <c r="C212" s="93"/>
      <c r="E212" s="58"/>
    </row>
    <row r="213" ht="15.75" customHeight="1">
      <c r="A213" s="75"/>
      <c r="B213" s="93"/>
      <c r="C213" s="93"/>
      <c r="E213" s="58"/>
    </row>
    <row r="214" ht="15.75" customHeight="1">
      <c r="A214" s="75"/>
      <c r="B214" s="93"/>
      <c r="C214" s="93"/>
      <c r="E214" s="58"/>
    </row>
    <row r="215" ht="15.75" customHeight="1">
      <c r="A215" s="75"/>
      <c r="B215" s="93"/>
      <c r="C215" s="93"/>
      <c r="E215" s="58"/>
    </row>
    <row r="216" ht="15.75" customHeight="1">
      <c r="A216" s="75"/>
      <c r="B216" s="93"/>
      <c r="C216" s="93"/>
      <c r="E216" s="58"/>
    </row>
    <row r="217" ht="15.75" customHeight="1">
      <c r="A217" s="75"/>
      <c r="B217" s="93"/>
      <c r="C217" s="93"/>
      <c r="E217" s="58"/>
    </row>
    <row r="218" ht="15.75" customHeight="1">
      <c r="A218" s="75"/>
      <c r="B218" s="93"/>
      <c r="C218" s="93"/>
      <c r="E218" s="58"/>
    </row>
    <row r="219" ht="15.75" customHeight="1">
      <c r="A219" s="75"/>
      <c r="B219" s="93"/>
      <c r="C219" s="93"/>
      <c r="E219" s="58"/>
    </row>
    <row r="220" ht="15.75" customHeight="1">
      <c r="A220" s="75"/>
      <c r="B220" s="93"/>
      <c r="C220" s="93"/>
      <c r="E220" s="58"/>
    </row>
    <row r="221" ht="15.75" customHeight="1">
      <c r="A221" s="75"/>
      <c r="B221" s="93"/>
      <c r="C221" s="93"/>
      <c r="E221" s="58"/>
    </row>
    <row r="222" ht="15.75" customHeight="1">
      <c r="A222" s="75"/>
      <c r="B222" s="93"/>
      <c r="C222" s="93"/>
      <c r="E222" s="58"/>
    </row>
    <row r="223" ht="15.75" customHeight="1">
      <c r="A223" s="75"/>
      <c r="B223" s="93"/>
      <c r="C223" s="93"/>
      <c r="E223" s="58"/>
    </row>
    <row r="224" ht="15.75" customHeight="1">
      <c r="A224" s="75"/>
      <c r="B224" s="93"/>
      <c r="C224" s="93"/>
      <c r="E224" s="58"/>
    </row>
    <row r="225" ht="15.75" customHeight="1">
      <c r="A225" s="75"/>
      <c r="B225" s="93"/>
      <c r="C225" s="93"/>
      <c r="E225" s="58"/>
    </row>
    <row r="226" ht="15.75" customHeight="1">
      <c r="A226" s="75"/>
      <c r="B226" s="93"/>
      <c r="C226" s="93"/>
      <c r="E226" s="58"/>
    </row>
    <row r="227" ht="15.75" customHeight="1">
      <c r="A227" s="75"/>
      <c r="B227" s="93"/>
      <c r="C227" s="93"/>
      <c r="E227" s="58"/>
    </row>
    <row r="228" ht="15.75" customHeight="1">
      <c r="A228" s="75"/>
      <c r="B228" s="93"/>
      <c r="C228" s="93"/>
      <c r="E228" s="58"/>
    </row>
    <row r="229" ht="15.75" customHeight="1">
      <c r="A229" s="75"/>
      <c r="B229" s="93"/>
      <c r="C229" s="93"/>
      <c r="E229" s="58"/>
    </row>
    <row r="230" ht="15.75" customHeight="1">
      <c r="A230" s="75"/>
      <c r="B230" s="93"/>
      <c r="C230" s="93"/>
      <c r="E230" s="58"/>
    </row>
    <row r="231" ht="15.75" customHeight="1">
      <c r="E231" s="58"/>
    </row>
    <row r="232" ht="15.75" customHeight="1">
      <c r="E232" s="58"/>
    </row>
    <row r="233" ht="15.75" customHeight="1">
      <c r="E233" s="58"/>
    </row>
    <row r="234" ht="15.75" customHeight="1">
      <c r="E234" s="58"/>
    </row>
    <row r="235" ht="15.75" customHeight="1">
      <c r="E235" s="58"/>
    </row>
    <row r="236" ht="15.75" customHeight="1">
      <c r="E236" s="58"/>
    </row>
    <row r="237" ht="15.75" customHeight="1">
      <c r="E237" s="58"/>
    </row>
    <row r="238" ht="15.75" customHeight="1">
      <c r="E238" s="58"/>
    </row>
    <row r="239" ht="15.75" customHeight="1">
      <c r="E239" s="58"/>
    </row>
    <row r="240" ht="15.75" customHeight="1">
      <c r="E240" s="58"/>
    </row>
    <row r="241" ht="15.75" customHeight="1">
      <c r="E241" s="58"/>
    </row>
    <row r="242" ht="15.75" customHeight="1">
      <c r="E242" s="58"/>
    </row>
    <row r="243" ht="15.75" customHeight="1">
      <c r="E243" s="58"/>
    </row>
    <row r="244" ht="15.75" customHeight="1">
      <c r="E244" s="58"/>
    </row>
    <row r="245" ht="15.75" customHeight="1">
      <c r="E245" s="58"/>
    </row>
    <row r="246" ht="15.75" customHeight="1">
      <c r="E246" s="58"/>
    </row>
    <row r="247" ht="15.75" customHeight="1">
      <c r="E247" s="58"/>
    </row>
    <row r="248" ht="15.75" customHeight="1">
      <c r="E248" s="58"/>
    </row>
    <row r="249" ht="15.75" customHeight="1">
      <c r="E249" s="58"/>
    </row>
    <row r="250" ht="15.75" customHeight="1">
      <c r="E250" s="58"/>
    </row>
    <row r="251" ht="15.75" customHeight="1">
      <c r="E251" s="58"/>
    </row>
    <row r="252" ht="15.75" customHeight="1">
      <c r="E252" s="58"/>
    </row>
    <row r="253" ht="15.75" customHeight="1">
      <c r="E253" s="58"/>
    </row>
    <row r="254" ht="15.75" customHeight="1">
      <c r="E254" s="58"/>
    </row>
    <row r="255" ht="15.75" customHeight="1">
      <c r="E255" s="58"/>
    </row>
    <row r="256" ht="15.75" customHeight="1">
      <c r="E256" s="58"/>
    </row>
    <row r="257" ht="15.75" customHeight="1">
      <c r="E257" s="58"/>
    </row>
    <row r="258" ht="15.75" customHeight="1">
      <c r="E258" s="58"/>
    </row>
    <row r="259" ht="15.75" customHeight="1">
      <c r="E259" s="58"/>
    </row>
    <row r="260" ht="15.75" customHeight="1">
      <c r="E260" s="58"/>
    </row>
    <row r="261" ht="15.75" customHeight="1">
      <c r="E261" s="58"/>
    </row>
    <row r="262" ht="15.75" customHeight="1">
      <c r="E262" s="58"/>
    </row>
    <row r="263" ht="15.75" customHeight="1">
      <c r="E263" s="58"/>
    </row>
    <row r="264" ht="15.75" customHeight="1">
      <c r="E264" s="58"/>
    </row>
    <row r="265" ht="15.75" customHeight="1">
      <c r="E265" s="58"/>
    </row>
    <row r="266" ht="15.75" customHeight="1">
      <c r="E266" s="58"/>
    </row>
    <row r="267" ht="15.75" customHeight="1">
      <c r="E267" s="58"/>
    </row>
    <row r="268" ht="15.75" customHeight="1">
      <c r="E268" s="58"/>
    </row>
    <row r="269" ht="15.75" customHeight="1">
      <c r="E269" s="58"/>
    </row>
    <row r="270" ht="15.75" customHeight="1">
      <c r="E270" s="58"/>
    </row>
    <row r="271" ht="15.75" customHeight="1">
      <c r="E271" s="58"/>
    </row>
    <row r="272" ht="15.75" customHeight="1">
      <c r="E272" s="58"/>
    </row>
    <row r="273" ht="15.75" customHeight="1">
      <c r="E273" s="58"/>
    </row>
    <row r="274" ht="15.75" customHeight="1">
      <c r="E274" s="58"/>
    </row>
    <row r="275" ht="15.75" customHeight="1">
      <c r="E275" s="58"/>
    </row>
    <row r="276" ht="15.75" customHeight="1">
      <c r="E276" s="58"/>
    </row>
    <row r="277" ht="15.75" customHeight="1">
      <c r="E277" s="58"/>
    </row>
    <row r="278" ht="15.75" customHeight="1">
      <c r="E278" s="58"/>
    </row>
    <row r="279" ht="15.75" customHeight="1">
      <c r="E279" s="58"/>
    </row>
    <row r="280" ht="15.75" customHeight="1">
      <c r="E280" s="58"/>
    </row>
    <row r="281" ht="15.75" customHeight="1">
      <c r="E281" s="58"/>
    </row>
    <row r="282" ht="15.75" customHeight="1">
      <c r="E282" s="58"/>
    </row>
    <row r="283" ht="15.75" customHeight="1">
      <c r="E283" s="58"/>
    </row>
    <row r="284" ht="15.75" customHeight="1">
      <c r="E284" s="58"/>
    </row>
    <row r="285" ht="15.75" customHeight="1">
      <c r="E285" s="58"/>
    </row>
    <row r="286" ht="15.75" customHeight="1">
      <c r="E286" s="58"/>
    </row>
    <row r="287" ht="15.75" customHeight="1">
      <c r="E287" s="58"/>
    </row>
    <row r="288" ht="15.75" customHeight="1">
      <c r="E288" s="58"/>
    </row>
    <row r="289" ht="15.75" customHeight="1">
      <c r="E289" s="58"/>
    </row>
    <row r="290" ht="15.75" customHeight="1">
      <c r="E290" s="58"/>
    </row>
    <row r="291" ht="15.75" customHeight="1">
      <c r="E291" s="58"/>
    </row>
    <row r="292" ht="15.75" customHeight="1">
      <c r="E292" s="58"/>
    </row>
    <row r="293" ht="15.75" customHeight="1">
      <c r="E293" s="58"/>
    </row>
    <row r="294" ht="15.75" customHeight="1">
      <c r="E294" s="58"/>
    </row>
    <row r="295" ht="15.75" customHeight="1">
      <c r="E295" s="58"/>
    </row>
    <row r="296" ht="15.75" customHeight="1">
      <c r="E296" s="58"/>
    </row>
    <row r="297" ht="15.75" customHeight="1">
      <c r="E297" s="58"/>
    </row>
    <row r="298" ht="15.75" customHeight="1">
      <c r="E298" s="58"/>
    </row>
    <row r="299" ht="15.75" customHeight="1">
      <c r="E299" s="58"/>
    </row>
    <row r="300" ht="15.75" customHeight="1">
      <c r="E300" s="58"/>
    </row>
    <row r="301" ht="15.75" customHeight="1">
      <c r="E301" s="58"/>
    </row>
    <row r="302" ht="15.75" customHeight="1">
      <c r="E302" s="58"/>
    </row>
    <row r="303" ht="15.75" customHeight="1">
      <c r="E303" s="58"/>
    </row>
    <row r="304" ht="15.75" customHeight="1">
      <c r="E304" s="58"/>
    </row>
    <row r="305" ht="15.75" customHeight="1">
      <c r="E305" s="58"/>
    </row>
    <row r="306" ht="15.75" customHeight="1">
      <c r="E306" s="58"/>
    </row>
    <row r="307" ht="15.75" customHeight="1">
      <c r="E307" s="58"/>
    </row>
    <row r="308" ht="15.75" customHeight="1">
      <c r="E308" s="58"/>
    </row>
    <row r="309" ht="15.75" customHeight="1">
      <c r="E309" s="58"/>
    </row>
    <row r="310" ht="15.75" customHeight="1">
      <c r="E310" s="58"/>
    </row>
    <row r="311" ht="15.75" customHeight="1">
      <c r="E311" s="58"/>
    </row>
    <row r="312" ht="15.75" customHeight="1">
      <c r="E312" s="58"/>
    </row>
    <row r="313" ht="15.75" customHeight="1">
      <c r="E313" s="58"/>
    </row>
    <row r="314" ht="15.75" customHeight="1">
      <c r="E314" s="58"/>
    </row>
    <row r="315" ht="15.75" customHeight="1">
      <c r="E315" s="58"/>
    </row>
    <row r="316" ht="15.75" customHeight="1">
      <c r="E316" s="58"/>
    </row>
    <row r="317" ht="15.75" customHeight="1">
      <c r="E317" s="58"/>
    </row>
    <row r="318" ht="15.75" customHeight="1">
      <c r="E318" s="58"/>
    </row>
    <row r="319" ht="15.75" customHeight="1">
      <c r="E319" s="58"/>
    </row>
    <row r="320" ht="15.75" customHeight="1">
      <c r="E320" s="58"/>
    </row>
    <row r="321" ht="15.75" customHeight="1">
      <c r="E321" s="58"/>
    </row>
    <row r="322" ht="15.75" customHeight="1">
      <c r="E322" s="58"/>
    </row>
    <row r="323" ht="15.75" customHeight="1">
      <c r="E323" s="58"/>
    </row>
    <row r="324" ht="15.75" customHeight="1">
      <c r="E324" s="58"/>
    </row>
    <row r="325" ht="15.75" customHeight="1">
      <c r="E325" s="58"/>
    </row>
    <row r="326" ht="15.75" customHeight="1">
      <c r="E326" s="58"/>
    </row>
    <row r="327" ht="15.75" customHeight="1">
      <c r="E327" s="58"/>
    </row>
    <row r="328" ht="15.75" customHeight="1">
      <c r="E328" s="58"/>
    </row>
    <row r="329" ht="15.75" customHeight="1">
      <c r="E329" s="58"/>
    </row>
    <row r="330" ht="15.75" customHeight="1">
      <c r="E330" s="58"/>
    </row>
    <row r="331" ht="15.75" customHeight="1">
      <c r="E331" s="58"/>
    </row>
    <row r="332" ht="15.75" customHeight="1">
      <c r="E332" s="58"/>
    </row>
    <row r="333" ht="15.75" customHeight="1">
      <c r="E333" s="58"/>
    </row>
    <row r="334" ht="15.75" customHeight="1">
      <c r="E334" s="58"/>
    </row>
    <row r="335" ht="15.75" customHeight="1">
      <c r="E335" s="58"/>
    </row>
    <row r="336" ht="15.75" customHeight="1">
      <c r="E336" s="58"/>
    </row>
    <row r="337" ht="15.75" customHeight="1">
      <c r="E337" s="58"/>
    </row>
    <row r="338" ht="15.75" customHeight="1">
      <c r="E338" s="58"/>
    </row>
    <row r="339" ht="15.75" customHeight="1">
      <c r="E339" s="58"/>
    </row>
    <row r="340" ht="15.75" customHeight="1">
      <c r="E340" s="58"/>
    </row>
    <row r="341" ht="15.75" customHeight="1">
      <c r="E341" s="58"/>
    </row>
    <row r="342" ht="15.75" customHeight="1">
      <c r="E342" s="58"/>
    </row>
    <row r="343" ht="15.75" customHeight="1">
      <c r="E343" s="58"/>
    </row>
    <row r="344" ht="15.75" customHeight="1">
      <c r="E344" s="58"/>
    </row>
    <row r="345" ht="15.75" customHeight="1">
      <c r="E345" s="58"/>
    </row>
    <row r="346" ht="15.75" customHeight="1">
      <c r="E346" s="58"/>
    </row>
    <row r="347" ht="15.75" customHeight="1">
      <c r="E347" s="58"/>
    </row>
    <row r="348" ht="15.75" customHeight="1">
      <c r="E348" s="58"/>
    </row>
    <row r="349" ht="15.75" customHeight="1">
      <c r="E349" s="58"/>
    </row>
    <row r="350" ht="15.75" customHeight="1">
      <c r="E350" s="58"/>
    </row>
    <row r="351" ht="15.75" customHeight="1">
      <c r="E351" s="58"/>
    </row>
    <row r="352" ht="15.75" customHeight="1">
      <c r="E352" s="58"/>
    </row>
    <row r="353" ht="15.75" customHeight="1">
      <c r="E353" s="58"/>
    </row>
    <row r="354" ht="15.75" customHeight="1">
      <c r="E354" s="58"/>
    </row>
    <row r="355" ht="15.75" customHeight="1">
      <c r="E355" s="58"/>
    </row>
    <row r="356" ht="15.75" customHeight="1">
      <c r="E356" s="58"/>
    </row>
    <row r="357" ht="15.75" customHeight="1">
      <c r="E357" s="58"/>
    </row>
    <row r="358" ht="15.75" customHeight="1">
      <c r="E358" s="58"/>
    </row>
    <row r="359" ht="15.75" customHeight="1">
      <c r="E359" s="58"/>
    </row>
    <row r="360" ht="15.75" customHeight="1">
      <c r="E360" s="58"/>
    </row>
    <row r="361" ht="15.75" customHeight="1">
      <c r="E361" s="58"/>
    </row>
    <row r="362" ht="15.75" customHeight="1">
      <c r="E362" s="58"/>
    </row>
    <row r="363" ht="15.75" customHeight="1">
      <c r="E363" s="58"/>
    </row>
    <row r="364" ht="15.75" customHeight="1">
      <c r="E364" s="58"/>
    </row>
    <row r="365" ht="15.75" customHeight="1">
      <c r="E365" s="58"/>
    </row>
    <row r="366" ht="15.75" customHeight="1">
      <c r="E366" s="58"/>
    </row>
    <row r="367" ht="15.75" customHeight="1">
      <c r="E367" s="58"/>
    </row>
    <row r="368" ht="15.75" customHeight="1">
      <c r="E368" s="58"/>
    </row>
    <row r="369" ht="15.75" customHeight="1">
      <c r="E369" s="58"/>
    </row>
    <row r="370" ht="15.75" customHeight="1">
      <c r="E370" s="58"/>
    </row>
    <row r="371" ht="15.75" customHeight="1">
      <c r="E371" s="58"/>
    </row>
    <row r="372" ht="15.75" customHeight="1">
      <c r="E372" s="58"/>
    </row>
    <row r="373" ht="15.75" customHeight="1">
      <c r="E373" s="58"/>
    </row>
    <row r="374" ht="15.75" customHeight="1">
      <c r="E374" s="58"/>
    </row>
    <row r="375" ht="15.75" customHeight="1">
      <c r="E375" s="58"/>
    </row>
    <row r="376" ht="15.75" customHeight="1">
      <c r="E376" s="58"/>
    </row>
    <row r="377" ht="15.75" customHeight="1">
      <c r="E377" s="58"/>
    </row>
    <row r="378" ht="15.75" customHeight="1">
      <c r="E378" s="58"/>
    </row>
    <row r="379" ht="15.75" customHeight="1">
      <c r="E379" s="58"/>
    </row>
    <row r="380" ht="15.75" customHeight="1">
      <c r="E380" s="58"/>
    </row>
    <row r="381" ht="15.75" customHeight="1">
      <c r="E381" s="58"/>
    </row>
    <row r="382" ht="15.75" customHeight="1">
      <c r="E382" s="58"/>
    </row>
    <row r="383" ht="15.75" customHeight="1">
      <c r="E383" s="58"/>
    </row>
    <row r="384" ht="15.75" customHeight="1">
      <c r="E384" s="58"/>
    </row>
    <row r="385" ht="15.75" customHeight="1">
      <c r="E385" s="58"/>
    </row>
    <row r="386" ht="15.75" customHeight="1">
      <c r="E386" s="58"/>
    </row>
    <row r="387" ht="15.75" customHeight="1">
      <c r="E387" s="58"/>
    </row>
    <row r="388" ht="15.75" customHeight="1">
      <c r="E388" s="58"/>
    </row>
    <row r="389" ht="15.75" customHeight="1">
      <c r="E389" s="58"/>
    </row>
    <row r="390" ht="15.75" customHeight="1">
      <c r="E390" s="58"/>
    </row>
    <row r="391" ht="15.75" customHeight="1">
      <c r="E391" s="58"/>
    </row>
    <row r="392" ht="15.75" customHeight="1">
      <c r="E392" s="58"/>
    </row>
    <row r="393" ht="15.75" customHeight="1">
      <c r="E393" s="58"/>
    </row>
    <row r="394" ht="15.75" customHeight="1">
      <c r="E394" s="58"/>
    </row>
    <row r="395" ht="15.75" customHeight="1">
      <c r="E395" s="58"/>
    </row>
    <row r="396" ht="15.75" customHeight="1">
      <c r="E396" s="58"/>
    </row>
    <row r="397" ht="15.75" customHeight="1">
      <c r="E397" s="58"/>
    </row>
    <row r="398" ht="15.75" customHeight="1">
      <c r="E398" s="58"/>
    </row>
    <row r="399" ht="15.75" customHeight="1">
      <c r="E399" s="58"/>
    </row>
    <row r="400" ht="15.75" customHeight="1">
      <c r="E400" s="58"/>
    </row>
    <row r="401" ht="15.75" customHeight="1">
      <c r="E401" s="58"/>
    </row>
    <row r="402" ht="15.75" customHeight="1">
      <c r="E402" s="58"/>
    </row>
    <row r="403" ht="15.75" customHeight="1">
      <c r="E403" s="58"/>
    </row>
    <row r="404" ht="15.75" customHeight="1">
      <c r="E404" s="58"/>
    </row>
    <row r="405" ht="15.75" customHeight="1">
      <c r="E405" s="58"/>
    </row>
    <row r="406" ht="15.75" customHeight="1">
      <c r="E406" s="58"/>
    </row>
    <row r="407" ht="15.75" customHeight="1">
      <c r="E407" s="58"/>
    </row>
    <row r="408" ht="15.75" customHeight="1">
      <c r="E408" s="58"/>
    </row>
    <row r="409" ht="15.75" customHeight="1">
      <c r="E409" s="58"/>
    </row>
    <row r="410" ht="15.75" customHeight="1">
      <c r="E410" s="58"/>
    </row>
    <row r="411" ht="15.75" customHeight="1">
      <c r="E411" s="58"/>
    </row>
    <row r="412" ht="15.75" customHeight="1">
      <c r="E412" s="58"/>
    </row>
    <row r="413" ht="15.75" customHeight="1">
      <c r="E413" s="58"/>
    </row>
    <row r="414" ht="15.75" customHeight="1">
      <c r="E414" s="58"/>
    </row>
    <row r="415" ht="15.75" customHeight="1">
      <c r="E415" s="58"/>
    </row>
    <row r="416" ht="15.75" customHeight="1">
      <c r="E416" s="58"/>
    </row>
    <row r="417" ht="15.75" customHeight="1">
      <c r="E417" s="58"/>
    </row>
    <row r="418" ht="15.75" customHeight="1">
      <c r="E418" s="58"/>
    </row>
    <row r="419" ht="15.75" customHeight="1">
      <c r="E419" s="58"/>
    </row>
    <row r="420" ht="15.75" customHeight="1">
      <c r="E420" s="58"/>
    </row>
    <row r="421" ht="15.75" customHeight="1">
      <c r="E421" s="58"/>
    </row>
    <row r="422" ht="15.75" customHeight="1">
      <c r="E422" s="58"/>
    </row>
    <row r="423" ht="15.75" customHeight="1">
      <c r="E423" s="58"/>
    </row>
    <row r="424" ht="15.75" customHeight="1">
      <c r="E424" s="58"/>
    </row>
    <row r="425" ht="15.75" customHeight="1">
      <c r="E425" s="58"/>
    </row>
    <row r="426" ht="15.75" customHeight="1">
      <c r="E426" s="58"/>
    </row>
    <row r="427" ht="15.75" customHeight="1">
      <c r="E427" s="58"/>
    </row>
    <row r="428" ht="15.75" customHeight="1">
      <c r="E428" s="58"/>
    </row>
    <row r="429" ht="15.75" customHeight="1">
      <c r="E429" s="58"/>
    </row>
    <row r="430" ht="15.75" customHeight="1">
      <c r="E430" s="58"/>
    </row>
    <row r="431" ht="15.75" customHeight="1">
      <c r="E431" s="58"/>
    </row>
    <row r="432" ht="15.75" customHeight="1">
      <c r="E432" s="58"/>
    </row>
    <row r="433" ht="15.75" customHeight="1">
      <c r="E433" s="58"/>
    </row>
    <row r="434" ht="15.75" customHeight="1">
      <c r="E434" s="58"/>
    </row>
    <row r="435" ht="15.75" customHeight="1">
      <c r="E435" s="58"/>
    </row>
    <row r="436" ht="15.75" customHeight="1">
      <c r="E436" s="58"/>
    </row>
    <row r="437" ht="15.75" customHeight="1">
      <c r="E437" s="58"/>
    </row>
    <row r="438" ht="15.75" customHeight="1">
      <c r="E438" s="58"/>
    </row>
    <row r="439" ht="15.75" customHeight="1">
      <c r="E439" s="58"/>
    </row>
    <row r="440" ht="15.75" customHeight="1">
      <c r="E440" s="58"/>
    </row>
    <row r="441" ht="15.75" customHeight="1">
      <c r="E441" s="58"/>
    </row>
    <row r="442" ht="15.75" customHeight="1">
      <c r="E442" s="58"/>
    </row>
    <row r="443" ht="15.75" customHeight="1">
      <c r="E443" s="58"/>
    </row>
    <row r="444" ht="15.75" customHeight="1">
      <c r="E444" s="58"/>
    </row>
    <row r="445" ht="15.75" customHeight="1">
      <c r="E445" s="58"/>
    </row>
    <row r="446" ht="15.75" customHeight="1">
      <c r="E446" s="58"/>
    </row>
    <row r="447" ht="15.75" customHeight="1">
      <c r="E447" s="58"/>
    </row>
    <row r="448" ht="15.75" customHeight="1">
      <c r="E448" s="58"/>
    </row>
    <row r="449" ht="15.75" customHeight="1">
      <c r="E449" s="58"/>
    </row>
    <row r="450" ht="15.75" customHeight="1">
      <c r="E450" s="58"/>
    </row>
    <row r="451" ht="15.75" customHeight="1">
      <c r="E451" s="58"/>
    </row>
    <row r="452" ht="15.75" customHeight="1">
      <c r="E452" s="58"/>
    </row>
    <row r="453" ht="15.75" customHeight="1">
      <c r="E453" s="58"/>
    </row>
    <row r="454" ht="15.75" customHeight="1">
      <c r="E454" s="58"/>
    </row>
    <row r="455" ht="15.75" customHeight="1">
      <c r="E455" s="58"/>
    </row>
    <row r="456" ht="15.75" customHeight="1">
      <c r="E456" s="58"/>
    </row>
    <row r="457" ht="15.75" customHeight="1">
      <c r="E457" s="58"/>
    </row>
    <row r="458" ht="15.75" customHeight="1">
      <c r="E458" s="58"/>
    </row>
    <row r="459" ht="15.75" customHeight="1">
      <c r="E459" s="58"/>
    </row>
    <row r="460" ht="15.75" customHeight="1">
      <c r="E460" s="58"/>
    </row>
    <row r="461" ht="15.75" customHeight="1">
      <c r="E461" s="58"/>
    </row>
    <row r="462" ht="15.75" customHeight="1">
      <c r="E462" s="58"/>
    </row>
    <row r="463" ht="15.75" customHeight="1">
      <c r="E463" s="58"/>
    </row>
    <row r="464" ht="15.75" customHeight="1">
      <c r="E464" s="58"/>
    </row>
    <row r="465" ht="15.75" customHeight="1">
      <c r="E465" s="58"/>
    </row>
    <row r="466" ht="15.75" customHeight="1">
      <c r="E466" s="58"/>
    </row>
    <row r="467" ht="15.75" customHeight="1">
      <c r="E467" s="58"/>
    </row>
    <row r="468" ht="15.75" customHeight="1">
      <c r="E468" s="58"/>
    </row>
    <row r="469" ht="15.75" customHeight="1">
      <c r="E469" s="58"/>
    </row>
    <row r="470" ht="15.75" customHeight="1">
      <c r="E470" s="58"/>
    </row>
    <row r="471" ht="15.75" customHeight="1">
      <c r="E471" s="58"/>
    </row>
    <row r="472" ht="15.75" customHeight="1">
      <c r="E472" s="58"/>
    </row>
    <row r="473" ht="15.75" customHeight="1">
      <c r="E473" s="58"/>
    </row>
    <row r="474" ht="15.75" customHeight="1">
      <c r="E474" s="58"/>
    </row>
    <row r="475" ht="15.75" customHeight="1">
      <c r="E475" s="58"/>
    </row>
    <row r="476" ht="15.75" customHeight="1">
      <c r="E476" s="58"/>
    </row>
    <row r="477" ht="15.75" customHeight="1">
      <c r="E477" s="58"/>
    </row>
    <row r="478" ht="15.75" customHeight="1">
      <c r="E478" s="58"/>
    </row>
    <row r="479" ht="15.75" customHeight="1">
      <c r="E479" s="58"/>
    </row>
    <row r="480" ht="15.75" customHeight="1">
      <c r="E480" s="58"/>
    </row>
    <row r="481" ht="15.75" customHeight="1">
      <c r="E481" s="58"/>
    </row>
    <row r="482" ht="15.75" customHeight="1">
      <c r="E482" s="58"/>
    </row>
    <row r="483" ht="15.75" customHeight="1">
      <c r="E483" s="58"/>
    </row>
    <row r="484" ht="15.75" customHeight="1">
      <c r="E484" s="58"/>
    </row>
    <row r="485" ht="15.75" customHeight="1">
      <c r="E485" s="58"/>
    </row>
    <row r="486" ht="15.75" customHeight="1">
      <c r="E486" s="58"/>
    </row>
    <row r="487" ht="15.75" customHeight="1">
      <c r="E487" s="58"/>
    </row>
    <row r="488" ht="15.75" customHeight="1">
      <c r="E488" s="58"/>
    </row>
    <row r="489" ht="15.75" customHeight="1">
      <c r="E489" s="58"/>
    </row>
    <row r="490" ht="15.75" customHeight="1">
      <c r="E490" s="58"/>
    </row>
    <row r="491" ht="15.75" customHeight="1">
      <c r="E491" s="58"/>
    </row>
    <row r="492" ht="15.75" customHeight="1">
      <c r="E492" s="58"/>
    </row>
    <row r="493" ht="15.75" customHeight="1">
      <c r="E493" s="58"/>
    </row>
    <row r="494" ht="15.75" customHeight="1">
      <c r="E494" s="58"/>
    </row>
    <row r="495" ht="15.75" customHeight="1">
      <c r="E495" s="58"/>
    </row>
    <row r="496" ht="15.75" customHeight="1">
      <c r="E496" s="58"/>
    </row>
    <row r="497" ht="15.75" customHeight="1">
      <c r="E497" s="58"/>
    </row>
    <row r="498" ht="15.75" customHeight="1">
      <c r="E498" s="58"/>
    </row>
    <row r="499" ht="15.75" customHeight="1">
      <c r="E499" s="58"/>
    </row>
    <row r="500" ht="15.75" customHeight="1">
      <c r="E500" s="58"/>
    </row>
    <row r="501" ht="15.75" customHeight="1">
      <c r="E501" s="58"/>
    </row>
    <row r="502" ht="15.75" customHeight="1">
      <c r="E502" s="58"/>
    </row>
    <row r="503" ht="15.75" customHeight="1">
      <c r="E503" s="58"/>
    </row>
    <row r="504" ht="15.75" customHeight="1">
      <c r="E504" s="58"/>
    </row>
    <row r="505" ht="15.75" customHeight="1">
      <c r="E505" s="58"/>
    </row>
    <row r="506" ht="15.75" customHeight="1">
      <c r="E506" s="58"/>
    </row>
    <row r="507" ht="15.75" customHeight="1">
      <c r="E507" s="58"/>
    </row>
    <row r="508" ht="15.75" customHeight="1">
      <c r="E508" s="58"/>
    </row>
    <row r="509" ht="15.75" customHeight="1">
      <c r="E509" s="58"/>
    </row>
    <row r="510" ht="15.75" customHeight="1">
      <c r="E510" s="58"/>
    </row>
    <row r="511" ht="15.75" customHeight="1">
      <c r="E511" s="58"/>
    </row>
    <row r="512" ht="15.75" customHeight="1">
      <c r="E512" s="58"/>
    </row>
    <row r="513" ht="15.75" customHeight="1">
      <c r="E513" s="58"/>
    </row>
    <row r="514" ht="15.75" customHeight="1">
      <c r="E514" s="58"/>
    </row>
    <row r="515" ht="15.75" customHeight="1">
      <c r="E515" s="58"/>
    </row>
    <row r="516" ht="15.75" customHeight="1">
      <c r="E516" s="58"/>
    </row>
    <row r="517" ht="15.75" customHeight="1">
      <c r="E517" s="58"/>
    </row>
    <row r="518" ht="15.75" customHeight="1">
      <c r="E518" s="58"/>
    </row>
    <row r="519" ht="15.75" customHeight="1">
      <c r="E519" s="58"/>
    </row>
    <row r="520" ht="15.75" customHeight="1">
      <c r="E520" s="58"/>
    </row>
    <row r="521" ht="15.75" customHeight="1">
      <c r="E521" s="58"/>
    </row>
    <row r="522" ht="15.75" customHeight="1">
      <c r="E522" s="58"/>
    </row>
    <row r="523" ht="15.75" customHeight="1">
      <c r="E523" s="58"/>
    </row>
    <row r="524" ht="15.75" customHeight="1">
      <c r="E524" s="58"/>
    </row>
    <row r="525" ht="15.75" customHeight="1">
      <c r="E525" s="58"/>
    </row>
    <row r="526" ht="15.75" customHeight="1">
      <c r="E526" s="58"/>
    </row>
    <row r="527" ht="15.75" customHeight="1">
      <c r="E527" s="58"/>
    </row>
    <row r="528" ht="15.75" customHeight="1">
      <c r="E528" s="58"/>
    </row>
    <row r="529" ht="15.75" customHeight="1">
      <c r="E529" s="58"/>
    </row>
    <row r="530" ht="15.75" customHeight="1">
      <c r="E530" s="58"/>
    </row>
    <row r="531" ht="15.75" customHeight="1">
      <c r="E531" s="58"/>
    </row>
    <row r="532" ht="15.75" customHeight="1">
      <c r="E532" s="58"/>
    </row>
    <row r="533" ht="15.75" customHeight="1">
      <c r="E533" s="58"/>
    </row>
    <row r="534" ht="15.75" customHeight="1">
      <c r="E534" s="58"/>
    </row>
    <row r="535" ht="15.75" customHeight="1">
      <c r="E535" s="58"/>
    </row>
    <row r="536" ht="15.75" customHeight="1">
      <c r="E536" s="58"/>
    </row>
    <row r="537" ht="15.75" customHeight="1">
      <c r="E537" s="58"/>
    </row>
    <row r="538" ht="15.75" customHeight="1">
      <c r="E538" s="58"/>
    </row>
    <row r="539" ht="15.75" customHeight="1">
      <c r="E539" s="58"/>
    </row>
    <row r="540" ht="15.75" customHeight="1">
      <c r="E540" s="58"/>
    </row>
    <row r="541" ht="15.75" customHeight="1">
      <c r="E541" s="58"/>
    </row>
    <row r="542" ht="15.75" customHeight="1">
      <c r="E542" s="58"/>
    </row>
    <row r="543" ht="15.75" customHeight="1">
      <c r="E543" s="58"/>
    </row>
    <row r="544" ht="15.75" customHeight="1">
      <c r="E544" s="58"/>
    </row>
    <row r="545" ht="15.75" customHeight="1">
      <c r="E545" s="58"/>
    </row>
    <row r="546" ht="15.75" customHeight="1">
      <c r="E546" s="58"/>
    </row>
    <row r="547" ht="15.75" customHeight="1">
      <c r="E547" s="58"/>
    </row>
    <row r="548" ht="15.75" customHeight="1">
      <c r="E548" s="58"/>
    </row>
    <row r="549" ht="15.75" customHeight="1">
      <c r="E549" s="58"/>
    </row>
    <row r="550" ht="15.75" customHeight="1">
      <c r="E550" s="58"/>
    </row>
    <row r="551" ht="15.75" customHeight="1">
      <c r="E551" s="58"/>
    </row>
    <row r="552" ht="15.75" customHeight="1">
      <c r="E552" s="58"/>
    </row>
    <row r="553" ht="15.75" customHeight="1">
      <c r="E553" s="58"/>
    </row>
    <row r="554" ht="15.75" customHeight="1">
      <c r="E554" s="58"/>
    </row>
    <row r="555" ht="15.75" customHeight="1">
      <c r="E555" s="58"/>
    </row>
    <row r="556" ht="15.75" customHeight="1">
      <c r="E556" s="58"/>
    </row>
    <row r="557" ht="15.75" customHeight="1">
      <c r="E557" s="58"/>
    </row>
    <row r="558" ht="15.75" customHeight="1">
      <c r="E558" s="58"/>
    </row>
    <row r="559" ht="15.75" customHeight="1">
      <c r="E559" s="58"/>
    </row>
    <row r="560" ht="15.75" customHeight="1">
      <c r="E560" s="58"/>
    </row>
    <row r="561" ht="15.75" customHeight="1">
      <c r="E561" s="58"/>
    </row>
    <row r="562" ht="15.75" customHeight="1">
      <c r="E562" s="58"/>
    </row>
    <row r="563" ht="15.75" customHeight="1">
      <c r="E563" s="58"/>
    </row>
    <row r="564" ht="15.75" customHeight="1">
      <c r="E564" s="58"/>
    </row>
    <row r="565" ht="15.75" customHeight="1">
      <c r="E565" s="58"/>
    </row>
    <row r="566" ht="15.75" customHeight="1">
      <c r="E566" s="58"/>
    </row>
    <row r="567" ht="15.75" customHeight="1">
      <c r="E567" s="58"/>
    </row>
    <row r="568" ht="15.75" customHeight="1">
      <c r="E568" s="58"/>
    </row>
    <row r="569" ht="15.75" customHeight="1">
      <c r="E569" s="58"/>
    </row>
    <row r="570" ht="15.75" customHeight="1">
      <c r="E570" s="58"/>
    </row>
    <row r="571" ht="15.75" customHeight="1">
      <c r="E571" s="58"/>
    </row>
    <row r="572" ht="15.75" customHeight="1">
      <c r="E572" s="58"/>
    </row>
    <row r="573" ht="15.75" customHeight="1">
      <c r="E573" s="58"/>
    </row>
    <row r="574" ht="15.75" customHeight="1">
      <c r="E574" s="58"/>
    </row>
    <row r="575" ht="15.75" customHeight="1">
      <c r="E575" s="58"/>
    </row>
    <row r="576" ht="15.75" customHeight="1">
      <c r="E576" s="58"/>
    </row>
    <row r="577" ht="15.75" customHeight="1">
      <c r="E577" s="58"/>
    </row>
    <row r="578" ht="15.75" customHeight="1">
      <c r="E578" s="58"/>
    </row>
    <row r="579" ht="15.75" customHeight="1">
      <c r="E579" s="58"/>
    </row>
    <row r="580" ht="15.75" customHeight="1">
      <c r="E580" s="58"/>
    </row>
    <row r="581" ht="15.75" customHeight="1">
      <c r="E581" s="58"/>
    </row>
    <row r="582" ht="15.75" customHeight="1">
      <c r="E582" s="58"/>
    </row>
    <row r="583" ht="15.75" customHeight="1">
      <c r="E583" s="58"/>
    </row>
    <row r="584" ht="15.75" customHeight="1">
      <c r="E584" s="58"/>
    </row>
    <row r="585" ht="15.75" customHeight="1">
      <c r="E585" s="58"/>
    </row>
    <row r="586" ht="15.75" customHeight="1">
      <c r="E586" s="58"/>
    </row>
    <row r="587" ht="15.75" customHeight="1">
      <c r="E587" s="58"/>
    </row>
    <row r="588" ht="15.75" customHeight="1">
      <c r="E588" s="58"/>
    </row>
    <row r="589" ht="15.75" customHeight="1">
      <c r="E589" s="58"/>
    </row>
    <row r="590" ht="15.75" customHeight="1">
      <c r="E590" s="58"/>
    </row>
    <row r="591" ht="15.75" customHeight="1">
      <c r="E591" s="58"/>
    </row>
    <row r="592" ht="15.75" customHeight="1">
      <c r="E592" s="58"/>
    </row>
    <row r="593" ht="15.75" customHeight="1">
      <c r="E593" s="58"/>
    </row>
    <row r="594" ht="15.75" customHeight="1">
      <c r="E594" s="58"/>
    </row>
    <row r="595" ht="15.75" customHeight="1">
      <c r="E595" s="58"/>
    </row>
    <row r="596" ht="15.75" customHeight="1">
      <c r="E596" s="58"/>
    </row>
    <row r="597" ht="15.75" customHeight="1">
      <c r="E597" s="58"/>
    </row>
    <row r="598" ht="15.75" customHeight="1">
      <c r="E598" s="58"/>
    </row>
    <row r="599" ht="15.75" customHeight="1">
      <c r="E599" s="58"/>
    </row>
    <row r="600" ht="15.75" customHeight="1">
      <c r="E600" s="58"/>
    </row>
    <row r="601" ht="15.75" customHeight="1">
      <c r="E601" s="58"/>
    </row>
    <row r="602" ht="15.75" customHeight="1">
      <c r="E602" s="58"/>
    </row>
    <row r="603" ht="15.75" customHeight="1">
      <c r="E603" s="58"/>
    </row>
    <row r="604" ht="15.75" customHeight="1">
      <c r="E604" s="58"/>
    </row>
    <row r="605" ht="15.75" customHeight="1">
      <c r="E605" s="58"/>
    </row>
    <row r="606" ht="15.75" customHeight="1">
      <c r="E606" s="58"/>
    </row>
    <row r="607" ht="15.75" customHeight="1">
      <c r="E607" s="58"/>
    </row>
    <row r="608" ht="15.75" customHeight="1">
      <c r="E608" s="58"/>
    </row>
    <row r="609" ht="15.75" customHeight="1">
      <c r="E609" s="58"/>
    </row>
    <row r="610" ht="15.75" customHeight="1">
      <c r="E610" s="58"/>
    </row>
    <row r="611" ht="15.75" customHeight="1">
      <c r="E611" s="58"/>
    </row>
    <row r="612" ht="15.75" customHeight="1">
      <c r="E612" s="58"/>
    </row>
    <row r="613" ht="15.75" customHeight="1">
      <c r="E613" s="58"/>
    </row>
    <row r="614" ht="15.75" customHeight="1">
      <c r="E614" s="58"/>
    </row>
    <row r="615" ht="15.75" customHeight="1">
      <c r="E615" s="58"/>
    </row>
    <row r="616" ht="15.75" customHeight="1">
      <c r="E616" s="58"/>
    </row>
    <row r="617" ht="15.75" customHeight="1">
      <c r="E617" s="58"/>
    </row>
    <row r="618" ht="15.75" customHeight="1">
      <c r="E618" s="58"/>
    </row>
    <row r="619" ht="15.75" customHeight="1">
      <c r="E619" s="58"/>
    </row>
    <row r="620" ht="15.75" customHeight="1">
      <c r="E620" s="58"/>
    </row>
    <row r="621" ht="15.75" customHeight="1">
      <c r="E621" s="58"/>
    </row>
    <row r="622" ht="15.75" customHeight="1">
      <c r="E622" s="58"/>
    </row>
    <row r="623" ht="15.75" customHeight="1">
      <c r="E623" s="58"/>
    </row>
    <row r="624" ht="15.75" customHeight="1">
      <c r="E624" s="58"/>
    </row>
    <row r="625" ht="15.75" customHeight="1">
      <c r="E625" s="58"/>
    </row>
    <row r="626" ht="15.75" customHeight="1">
      <c r="E626" s="58"/>
    </row>
    <row r="627" ht="15.75" customHeight="1">
      <c r="E627" s="58"/>
    </row>
    <row r="628" ht="15.75" customHeight="1">
      <c r="E628" s="58"/>
    </row>
    <row r="629" ht="15.75" customHeight="1">
      <c r="E629" s="58"/>
    </row>
    <row r="630" ht="15.75" customHeight="1">
      <c r="E630" s="58"/>
    </row>
    <row r="631" ht="15.75" customHeight="1">
      <c r="E631" s="58"/>
    </row>
    <row r="632" ht="15.75" customHeight="1">
      <c r="E632" s="58"/>
    </row>
    <row r="633" ht="15.75" customHeight="1">
      <c r="E633" s="58"/>
    </row>
    <row r="634" ht="15.75" customHeight="1">
      <c r="E634" s="58"/>
    </row>
    <row r="635" ht="15.75" customHeight="1">
      <c r="E635" s="58"/>
    </row>
    <row r="636" ht="15.75" customHeight="1">
      <c r="E636" s="58"/>
    </row>
    <row r="637" ht="15.75" customHeight="1">
      <c r="E637" s="58"/>
    </row>
    <row r="638" ht="15.75" customHeight="1">
      <c r="E638" s="58"/>
    </row>
    <row r="639" ht="15.75" customHeight="1">
      <c r="E639" s="58"/>
    </row>
    <row r="640" ht="15.75" customHeight="1">
      <c r="E640" s="58"/>
    </row>
    <row r="641" ht="15.75" customHeight="1">
      <c r="E641" s="58"/>
    </row>
    <row r="642" ht="15.75" customHeight="1">
      <c r="E642" s="58"/>
    </row>
    <row r="643" ht="15.75" customHeight="1">
      <c r="E643" s="58"/>
    </row>
    <row r="644" ht="15.75" customHeight="1">
      <c r="E644" s="58"/>
    </row>
    <row r="645" ht="15.75" customHeight="1">
      <c r="E645" s="58"/>
    </row>
    <row r="646" ht="15.75" customHeight="1">
      <c r="E646" s="58"/>
    </row>
    <row r="647" ht="15.75" customHeight="1">
      <c r="E647" s="58"/>
    </row>
    <row r="648" ht="15.75" customHeight="1">
      <c r="E648" s="58"/>
    </row>
    <row r="649" ht="15.75" customHeight="1">
      <c r="E649" s="58"/>
    </row>
    <row r="650" ht="15.75" customHeight="1">
      <c r="E650" s="58"/>
    </row>
    <row r="651" ht="15.75" customHeight="1">
      <c r="E651" s="58"/>
    </row>
    <row r="652" ht="15.75" customHeight="1">
      <c r="E652" s="58"/>
    </row>
    <row r="653" ht="15.75" customHeight="1">
      <c r="E653" s="58"/>
    </row>
    <row r="654" ht="15.75" customHeight="1">
      <c r="E654" s="58"/>
    </row>
    <row r="655" ht="15.75" customHeight="1">
      <c r="E655" s="58"/>
    </row>
    <row r="656" ht="15.75" customHeight="1">
      <c r="E656" s="58"/>
    </row>
    <row r="657" ht="15.75" customHeight="1">
      <c r="E657" s="58"/>
    </row>
    <row r="658" ht="15.75" customHeight="1">
      <c r="E658" s="58"/>
    </row>
    <row r="659" ht="15.75" customHeight="1">
      <c r="E659" s="58"/>
    </row>
    <row r="660" ht="15.75" customHeight="1">
      <c r="E660" s="58"/>
    </row>
    <row r="661" ht="15.75" customHeight="1">
      <c r="E661" s="58"/>
    </row>
    <row r="662" ht="15.75" customHeight="1">
      <c r="E662" s="58"/>
    </row>
    <row r="663" ht="15.75" customHeight="1">
      <c r="E663" s="58"/>
    </row>
    <row r="664" ht="15.75" customHeight="1">
      <c r="E664" s="58"/>
    </row>
    <row r="665" ht="15.75" customHeight="1">
      <c r="E665" s="58"/>
    </row>
    <row r="666" ht="15.75" customHeight="1">
      <c r="E666" s="58"/>
    </row>
    <row r="667" ht="15.75" customHeight="1">
      <c r="E667" s="58"/>
    </row>
    <row r="668" ht="15.75" customHeight="1">
      <c r="E668" s="58"/>
    </row>
    <row r="669" ht="15.75" customHeight="1">
      <c r="E669" s="58"/>
    </row>
    <row r="670" ht="15.75" customHeight="1">
      <c r="E670" s="58"/>
    </row>
    <row r="671" ht="15.75" customHeight="1">
      <c r="E671" s="58"/>
    </row>
    <row r="672" ht="15.75" customHeight="1">
      <c r="E672" s="58"/>
    </row>
    <row r="673" ht="15.75" customHeight="1">
      <c r="E673" s="58"/>
    </row>
    <row r="674" ht="15.75" customHeight="1">
      <c r="E674" s="58"/>
    </row>
    <row r="675" ht="15.75" customHeight="1">
      <c r="E675" s="58"/>
    </row>
    <row r="676" ht="15.75" customHeight="1">
      <c r="E676" s="58"/>
    </row>
    <row r="677" ht="15.75" customHeight="1">
      <c r="E677" s="58"/>
    </row>
    <row r="678" ht="15.75" customHeight="1">
      <c r="E678" s="58"/>
    </row>
    <row r="679" ht="15.75" customHeight="1">
      <c r="E679" s="58"/>
    </row>
    <row r="680" ht="15.75" customHeight="1">
      <c r="E680" s="58"/>
    </row>
    <row r="681" ht="15.75" customHeight="1">
      <c r="E681" s="58"/>
    </row>
    <row r="682" ht="15.75" customHeight="1">
      <c r="E682" s="58"/>
    </row>
    <row r="683" ht="15.75" customHeight="1">
      <c r="E683" s="58"/>
    </row>
    <row r="684" ht="15.75" customHeight="1">
      <c r="E684" s="58"/>
    </row>
    <row r="685" ht="15.75" customHeight="1">
      <c r="E685" s="58"/>
    </row>
    <row r="686" ht="15.75" customHeight="1">
      <c r="E686" s="58"/>
    </row>
    <row r="687" ht="15.75" customHeight="1">
      <c r="E687" s="58"/>
    </row>
    <row r="688" ht="15.75" customHeight="1">
      <c r="E688" s="58"/>
    </row>
    <row r="689" ht="15.75" customHeight="1">
      <c r="E689" s="58"/>
    </row>
    <row r="690" ht="15.75" customHeight="1">
      <c r="E690" s="58"/>
    </row>
    <row r="691" ht="15.75" customHeight="1">
      <c r="E691" s="58"/>
    </row>
    <row r="692" ht="15.75" customHeight="1">
      <c r="E692" s="58"/>
    </row>
    <row r="693" ht="15.75" customHeight="1">
      <c r="E693" s="58"/>
    </row>
    <row r="694" ht="15.75" customHeight="1">
      <c r="E694" s="58"/>
    </row>
    <row r="695" ht="15.75" customHeight="1">
      <c r="E695" s="58"/>
    </row>
    <row r="696" ht="15.75" customHeight="1">
      <c r="E696" s="58"/>
    </row>
    <row r="697" ht="15.75" customHeight="1">
      <c r="E697" s="58"/>
    </row>
    <row r="698" ht="15.75" customHeight="1">
      <c r="E698" s="58"/>
    </row>
    <row r="699" ht="15.75" customHeight="1">
      <c r="E699" s="58"/>
    </row>
    <row r="700" ht="15.75" customHeight="1">
      <c r="E700" s="58"/>
    </row>
    <row r="701" ht="15.75" customHeight="1">
      <c r="E701" s="58"/>
    </row>
    <row r="702" ht="15.75" customHeight="1">
      <c r="E702" s="58"/>
    </row>
    <row r="703" ht="15.75" customHeight="1">
      <c r="E703" s="58"/>
    </row>
    <row r="704" ht="15.75" customHeight="1">
      <c r="E704" s="58"/>
    </row>
    <row r="705" ht="15.75" customHeight="1">
      <c r="E705" s="58"/>
    </row>
    <row r="706" ht="15.75" customHeight="1">
      <c r="E706" s="58"/>
    </row>
    <row r="707" ht="15.75" customHeight="1">
      <c r="E707" s="58"/>
    </row>
    <row r="708" ht="15.75" customHeight="1">
      <c r="E708" s="58"/>
    </row>
    <row r="709" ht="15.75" customHeight="1">
      <c r="E709" s="58"/>
    </row>
    <row r="710" ht="15.75" customHeight="1">
      <c r="E710" s="58"/>
    </row>
    <row r="711" ht="15.75" customHeight="1">
      <c r="E711" s="58"/>
    </row>
    <row r="712" ht="15.75" customHeight="1">
      <c r="E712" s="58"/>
    </row>
    <row r="713" ht="15.75" customHeight="1">
      <c r="E713" s="58"/>
    </row>
    <row r="714" ht="15.75" customHeight="1">
      <c r="E714" s="58"/>
    </row>
    <row r="715" ht="15.75" customHeight="1">
      <c r="E715" s="58"/>
    </row>
    <row r="716" ht="15.75" customHeight="1">
      <c r="E716" s="58"/>
    </row>
    <row r="717" ht="15.75" customHeight="1">
      <c r="E717" s="58"/>
    </row>
    <row r="718" ht="15.75" customHeight="1">
      <c r="E718" s="58"/>
    </row>
    <row r="719" ht="15.75" customHeight="1">
      <c r="E719" s="58"/>
    </row>
    <row r="720" ht="15.75" customHeight="1">
      <c r="E720" s="58"/>
    </row>
    <row r="721" ht="15.75" customHeight="1">
      <c r="E721" s="58"/>
    </row>
    <row r="722" ht="15.75" customHeight="1">
      <c r="E722" s="58"/>
    </row>
    <row r="723" ht="15.75" customHeight="1">
      <c r="E723" s="58"/>
    </row>
    <row r="724" ht="15.75" customHeight="1">
      <c r="E724" s="58"/>
    </row>
    <row r="725" ht="15.75" customHeight="1">
      <c r="E725" s="58"/>
    </row>
    <row r="726" ht="15.75" customHeight="1">
      <c r="E726" s="58"/>
    </row>
    <row r="727" ht="15.75" customHeight="1">
      <c r="E727" s="58"/>
    </row>
    <row r="728" ht="15.75" customHeight="1">
      <c r="E728" s="58"/>
    </row>
    <row r="729" ht="15.75" customHeight="1">
      <c r="E729" s="58"/>
    </row>
    <row r="730" ht="15.75" customHeight="1">
      <c r="E730" s="58"/>
    </row>
    <row r="731" ht="15.75" customHeight="1">
      <c r="E731" s="58"/>
    </row>
    <row r="732" ht="15.75" customHeight="1">
      <c r="E732" s="58"/>
    </row>
    <row r="733" ht="15.75" customHeight="1">
      <c r="E733" s="58"/>
    </row>
    <row r="734" ht="15.75" customHeight="1">
      <c r="E734" s="58"/>
    </row>
    <row r="735" ht="15.75" customHeight="1">
      <c r="E735" s="58"/>
    </row>
    <row r="736" ht="15.75" customHeight="1">
      <c r="E736" s="58"/>
    </row>
    <row r="737" ht="15.75" customHeight="1">
      <c r="E737" s="58"/>
    </row>
    <row r="738" ht="15.75" customHeight="1">
      <c r="E738" s="58"/>
    </row>
    <row r="739" ht="15.75" customHeight="1">
      <c r="E739" s="58"/>
    </row>
    <row r="740" ht="15.75" customHeight="1">
      <c r="E740" s="58"/>
    </row>
    <row r="741" ht="15.75" customHeight="1">
      <c r="E741" s="58"/>
    </row>
    <row r="742" ht="15.75" customHeight="1">
      <c r="E742" s="58"/>
    </row>
    <row r="743" ht="15.75" customHeight="1">
      <c r="E743" s="58"/>
    </row>
    <row r="744" ht="15.75" customHeight="1">
      <c r="E744" s="58"/>
    </row>
    <row r="745" ht="15.75" customHeight="1">
      <c r="E745" s="58"/>
    </row>
    <row r="746" ht="15.75" customHeight="1">
      <c r="E746" s="58"/>
    </row>
    <row r="747" ht="15.75" customHeight="1">
      <c r="E747" s="58"/>
    </row>
    <row r="748" ht="15.75" customHeight="1">
      <c r="E748" s="58"/>
    </row>
    <row r="749" ht="15.75" customHeight="1">
      <c r="E749" s="58"/>
    </row>
    <row r="750" ht="15.75" customHeight="1">
      <c r="E750" s="58"/>
    </row>
    <row r="751" ht="15.75" customHeight="1">
      <c r="E751" s="58"/>
    </row>
    <row r="752" ht="15.75" customHeight="1">
      <c r="E752" s="58"/>
    </row>
    <row r="753" ht="15.75" customHeight="1">
      <c r="E753" s="58"/>
    </row>
    <row r="754" ht="15.75" customHeight="1">
      <c r="E754" s="58"/>
    </row>
    <row r="755" ht="15.75" customHeight="1">
      <c r="E755" s="58"/>
    </row>
    <row r="756" ht="15.75" customHeight="1">
      <c r="E756" s="58"/>
    </row>
    <row r="757" ht="15.75" customHeight="1">
      <c r="E757" s="58"/>
    </row>
    <row r="758" ht="15.75" customHeight="1">
      <c r="E758" s="58"/>
    </row>
    <row r="759" ht="15.75" customHeight="1">
      <c r="E759" s="58"/>
    </row>
    <row r="760" ht="15.75" customHeight="1">
      <c r="E760" s="58"/>
    </row>
    <row r="761" ht="15.75" customHeight="1">
      <c r="E761" s="58"/>
    </row>
    <row r="762" ht="15.75" customHeight="1">
      <c r="E762" s="58"/>
    </row>
    <row r="763" ht="15.75" customHeight="1">
      <c r="E763" s="58"/>
    </row>
    <row r="764" ht="15.75" customHeight="1">
      <c r="E764" s="58"/>
    </row>
    <row r="765" ht="15.75" customHeight="1">
      <c r="E765" s="58"/>
    </row>
    <row r="766" ht="15.75" customHeight="1">
      <c r="E766" s="58"/>
    </row>
    <row r="767" ht="15.75" customHeight="1">
      <c r="E767" s="58"/>
    </row>
    <row r="768" ht="15.75" customHeight="1">
      <c r="E768" s="58"/>
    </row>
    <row r="769" ht="15.75" customHeight="1">
      <c r="E769" s="58"/>
    </row>
    <row r="770" ht="15.75" customHeight="1">
      <c r="E770" s="58"/>
    </row>
    <row r="771" ht="15.75" customHeight="1">
      <c r="E771" s="58"/>
    </row>
    <row r="772" ht="15.75" customHeight="1">
      <c r="E772" s="58"/>
    </row>
    <row r="773" ht="15.75" customHeight="1">
      <c r="E773" s="58"/>
    </row>
    <row r="774" ht="15.75" customHeight="1">
      <c r="E774" s="58"/>
    </row>
    <row r="775" ht="15.75" customHeight="1">
      <c r="E775" s="58"/>
    </row>
    <row r="776" ht="15.75" customHeight="1">
      <c r="E776" s="58"/>
    </row>
    <row r="777" ht="15.75" customHeight="1">
      <c r="E777" s="58"/>
    </row>
    <row r="778" ht="15.75" customHeight="1">
      <c r="E778" s="58"/>
    </row>
    <row r="779" ht="15.75" customHeight="1">
      <c r="E779" s="58"/>
    </row>
    <row r="780" ht="15.75" customHeight="1">
      <c r="E780" s="58"/>
    </row>
    <row r="781" ht="15.75" customHeight="1">
      <c r="E781" s="58"/>
    </row>
    <row r="782" ht="15.75" customHeight="1">
      <c r="E782" s="58"/>
    </row>
    <row r="783" ht="15.75" customHeight="1">
      <c r="E783" s="58"/>
    </row>
    <row r="784" ht="15.75" customHeight="1">
      <c r="E784" s="58"/>
    </row>
    <row r="785" ht="15.75" customHeight="1">
      <c r="E785" s="58"/>
    </row>
    <row r="786" ht="15.75" customHeight="1">
      <c r="E786" s="58"/>
    </row>
    <row r="787" ht="15.75" customHeight="1">
      <c r="E787" s="58"/>
    </row>
    <row r="788" ht="15.75" customHeight="1">
      <c r="E788" s="58"/>
    </row>
    <row r="789" ht="15.75" customHeight="1">
      <c r="E789" s="58"/>
    </row>
    <row r="790" ht="15.75" customHeight="1">
      <c r="E790" s="58"/>
    </row>
    <row r="791" ht="15.75" customHeight="1">
      <c r="E791" s="58"/>
    </row>
    <row r="792" ht="15.75" customHeight="1">
      <c r="E792" s="58"/>
    </row>
    <row r="793" ht="15.75" customHeight="1">
      <c r="E793" s="58"/>
    </row>
    <row r="794" ht="15.75" customHeight="1">
      <c r="E794" s="58"/>
    </row>
    <row r="795" ht="15.75" customHeight="1">
      <c r="E795" s="58"/>
    </row>
    <row r="796" ht="15.75" customHeight="1">
      <c r="E796" s="58"/>
    </row>
    <row r="797" ht="15.75" customHeight="1">
      <c r="E797" s="58"/>
    </row>
    <row r="798" ht="15.75" customHeight="1">
      <c r="E798" s="58"/>
    </row>
    <row r="799" ht="15.75" customHeight="1">
      <c r="E799" s="58"/>
    </row>
    <row r="800" ht="15.75" customHeight="1">
      <c r="E800" s="58"/>
    </row>
    <row r="801" ht="15.75" customHeight="1">
      <c r="E801" s="58"/>
    </row>
    <row r="802" ht="15.75" customHeight="1">
      <c r="E802" s="58"/>
    </row>
    <row r="803" ht="15.75" customHeight="1">
      <c r="E803" s="58"/>
    </row>
    <row r="804" ht="15.75" customHeight="1">
      <c r="E804" s="58"/>
    </row>
    <row r="805" ht="15.75" customHeight="1">
      <c r="E805" s="58"/>
    </row>
    <row r="806" ht="15.75" customHeight="1">
      <c r="E806" s="58"/>
    </row>
    <row r="807" ht="15.75" customHeight="1">
      <c r="E807" s="58"/>
    </row>
    <row r="808" ht="15.75" customHeight="1">
      <c r="E808" s="58"/>
    </row>
    <row r="809" ht="15.75" customHeight="1">
      <c r="E809" s="58"/>
    </row>
    <row r="810" ht="15.75" customHeight="1">
      <c r="E810" s="58"/>
    </row>
    <row r="811" ht="15.75" customHeight="1">
      <c r="E811" s="58"/>
    </row>
    <row r="812" ht="15.75" customHeight="1">
      <c r="E812" s="58"/>
    </row>
    <row r="813" ht="15.75" customHeight="1">
      <c r="E813" s="58"/>
    </row>
    <row r="814" ht="15.75" customHeight="1">
      <c r="E814" s="58"/>
    </row>
    <row r="815" ht="15.75" customHeight="1">
      <c r="E815" s="58"/>
    </row>
    <row r="816" ht="15.75" customHeight="1">
      <c r="E816" s="58"/>
    </row>
    <row r="817" ht="15.75" customHeight="1">
      <c r="E817" s="58"/>
    </row>
    <row r="818" ht="15.75" customHeight="1">
      <c r="E818" s="58"/>
    </row>
    <row r="819" ht="15.75" customHeight="1">
      <c r="E819" s="58"/>
    </row>
    <row r="820" ht="15.75" customHeight="1">
      <c r="E820" s="58"/>
    </row>
    <row r="821" ht="15.75" customHeight="1">
      <c r="E821" s="58"/>
    </row>
    <row r="822" ht="15.75" customHeight="1">
      <c r="E822" s="58"/>
    </row>
    <row r="823" ht="15.75" customHeight="1">
      <c r="E823" s="58"/>
    </row>
    <row r="824" ht="15.75" customHeight="1">
      <c r="E824" s="58"/>
    </row>
    <row r="825" ht="15.75" customHeight="1">
      <c r="E825" s="58"/>
    </row>
    <row r="826" ht="15.75" customHeight="1">
      <c r="E826" s="58"/>
    </row>
    <row r="827" ht="15.75" customHeight="1">
      <c r="E827" s="58"/>
    </row>
    <row r="828" ht="15.75" customHeight="1">
      <c r="E828" s="58"/>
    </row>
    <row r="829" ht="15.75" customHeight="1">
      <c r="E829" s="58"/>
    </row>
    <row r="830" ht="15.75" customHeight="1">
      <c r="E830" s="58"/>
    </row>
    <row r="831" ht="15.75" customHeight="1">
      <c r="E831" s="58"/>
    </row>
    <row r="832" ht="15.75" customHeight="1">
      <c r="E832" s="58"/>
    </row>
    <row r="833" ht="15.75" customHeight="1">
      <c r="E833" s="58"/>
    </row>
    <row r="834" ht="15.75" customHeight="1">
      <c r="E834" s="58"/>
    </row>
    <row r="835" ht="15.75" customHeight="1">
      <c r="E835" s="58"/>
    </row>
    <row r="836" ht="15.75" customHeight="1">
      <c r="E836" s="58"/>
    </row>
    <row r="837" ht="15.75" customHeight="1">
      <c r="E837" s="58"/>
    </row>
    <row r="838" ht="15.75" customHeight="1">
      <c r="E838" s="58"/>
    </row>
    <row r="839" ht="15.75" customHeight="1">
      <c r="E839" s="58"/>
    </row>
    <row r="840" ht="15.75" customHeight="1">
      <c r="E840" s="58"/>
    </row>
    <row r="841" ht="15.75" customHeight="1">
      <c r="E841" s="58"/>
    </row>
    <row r="842" ht="15.75" customHeight="1">
      <c r="E842" s="58"/>
    </row>
    <row r="843" ht="15.75" customHeight="1">
      <c r="E843" s="58"/>
    </row>
    <row r="844" ht="15.75" customHeight="1">
      <c r="E844" s="58"/>
    </row>
    <row r="845" ht="15.75" customHeight="1">
      <c r="E845" s="58"/>
    </row>
    <row r="846" ht="15.75" customHeight="1">
      <c r="E846" s="58"/>
    </row>
    <row r="847" ht="15.75" customHeight="1">
      <c r="E847" s="58"/>
    </row>
    <row r="848" ht="15.75" customHeight="1">
      <c r="E848" s="58"/>
    </row>
    <row r="849" ht="15.75" customHeight="1">
      <c r="E849" s="58"/>
    </row>
    <row r="850" ht="15.75" customHeight="1">
      <c r="E850" s="58"/>
    </row>
    <row r="851" ht="15.75" customHeight="1">
      <c r="E851" s="58"/>
    </row>
    <row r="852" ht="15.75" customHeight="1">
      <c r="E852" s="58"/>
    </row>
    <row r="853" ht="15.75" customHeight="1">
      <c r="E853" s="58"/>
    </row>
    <row r="854" ht="15.75" customHeight="1">
      <c r="E854" s="58"/>
    </row>
    <row r="855" ht="15.75" customHeight="1">
      <c r="E855" s="58"/>
    </row>
    <row r="856" ht="15.75" customHeight="1">
      <c r="E856" s="58"/>
    </row>
    <row r="857" ht="15.75" customHeight="1">
      <c r="E857" s="58"/>
    </row>
    <row r="858" ht="15.75" customHeight="1">
      <c r="E858" s="58"/>
    </row>
    <row r="859" ht="15.75" customHeight="1">
      <c r="E859" s="58"/>
    </row>
    <row r="860" ht="15.75" customHeight="1">
      <c r="E860" s="58"/>
    </row>
    <row r="861" ht="15.75" customHeight="1">
      <c r="E861" s="58"/>
    </row>
    <row r="862" ht="15.75" customHeight="1">
      <c r="E862" s="58"/>
    </row>
    <row r="863" ht="15.75" customHeight="1">
      <c r="E863" s="58"/>
    </row>
    <row r="864" ht="15.75" customHeight="1">
      <c r="E864" s="58"/>
    </row>
    <row r="865" ht="15.75" customHeight="1">
      <c r="E865" s="58"/>
    </row>
    <row r="866" ht="15.75" customHeight="1">
      <c r="E866" s="58"/>
    </row>
    <row r="867" ht="15.75" customHeight="1">
      <c r="E867" s="58"/>
    </row>
    <row r="868" ht="15.75" customHeight="1">
      <c r="E868" s="58"/>
    </row>
    <row r="869" ht="15.75" customHeight="1">
      <c r="E869" s="58"/>
    </row>
    <row r="870" ht="15.75" customHeight="1">
      <c r="E870" s="58"/>
    </row>
    <row r="871" ht="15.75" customHeight="1">
      <c r="E871" s="58"/>
    </row>
    <row r="872" ht="15.75" customHeight="1">
      <c r="E872" s="58"/>
    </row>
    <row r="873" ht="15.75" customHeight="1">
      <c r="E873" s="58"/>
    </row>
    <row r="874" ht="15.75" customHeight="1">
      <c r="E874" s="58"/>
    </row>
    <row r="875" ht="15.75" customHeight="1">
      <c r="E875" s="58"/>
    </row>
    <row r="876" ht="15.75" customHeight="1">
      <c r="E876" s="58"/>
    </row>
    <row r="877" ht="15.75" customHeight="1">
      <c r="E877" s="58"/>
    </row>
    <row r="878" ht="15.75" customHeight="1">
      <c r="E878" s="58"/>
    </row>
    <row r="879" ht="15.75" customHeight="1">
      <c r="E879" s="58"/>
    </row>
    <row r="880" ht="15.75" customHeight="1">
      <c r="E880" s="58"/>
    </row>
    <row r="881" ht="15.75" customHeight="1">
      <c r="E881" s="58"/>
    </row>
    <row r="882" ht="15.75" customHeight="1">
      <c r="E882" s="58"/>
    </row>
    <row r="883" ht="15.75" customHeight="1">
      <c r="E883" s="58"/>
    </row>
    <row r="884" ht="15.75" customHeight="1">
      <c r="E884" s="58"/>
    </row>
    <row r="885" ht="15.75" customHeight="1">
      <c r="E885" s="58"/>
    </row>
    <row r="886" ht="15.75" customHeight="1">
      <c r="E886" s="58"/>
    </row>
    <row r="887" ht="15.75" customHeight="1">
      <c r="E887" s="58"/>
    </row>
    <row r="888" ht="15.75" customHeight="1">
      <c r="E888" s="58"/>
    </row>
    <row r="889" ht="15.75" customHeight="1">
      <c r="E889" s="58"/>
    </row>
    <row r="890" ht="15.75" customHeight="1">
      <c r="E890" s="58"/>
    </row>
    <row r="891" ht="15.75" customHeight="1">
      <c r="E891" s="58"/>
    </row>
    <row r="892" ht="15.75" customHeight="1">
      <c r="E892" s="58"/>
    </row>
    <row r="893" ht="15.75" customHeight="1">
      <c r="E893" s="58"/>
    </row>
    <row r="894" ht="15.75" customHeight="1">
      <c r="E894" s="58"/>
    </row>
    <row r="895" ht="15.75" customHeight="1">
      <c r="E895" s="58"/>
    </row>
    <row r="896" ht="15.75" customHeight="1">
      <c r="E896" s="58"/>
    </row>
    <row r="897" ht="15.75" customHeight="1">
      <c r="E897" s="58"/>
    </row>
    <row r="898" ht="15.75" customHeight="1">
      <c r="E898" s="58"/>
    </row>
    <row r="899" ht="15.75" customHeight="1">
      <c r="E899" s="58"/>
    </row>
    <row r="900" ht="15.75" customHeight="1">
      <c r="E900" s="58"/>
    </row>
    <row r="901" ht="15.75" customHeight="1">
      <c r="E901" s="58"/>
    </row>
    <row r="902" ht="15.75" customHeight="1">
      <c r="E902" s="58"/>
    </row>
    <row r="903" ht="15.75" customHeight="1">
      <c r="E903" s="58"/>
    </row>
    <row r="904" ht="15.75" customHeight="1">
      <c r="E904" s="58"/>
    </row>
    <row r="905" ht="15.75" customHeight="1">
      <c r="E905" s="58"/>
    </row>
    <row r="906" ht="15.75" customHeight="1">
      <c r="E906" s="58"/>
    </row>
    <row r="907" ht="15.75" customHeight="1">
      <c r="E907" s="58"/>
    </row>
    <row r="908" ht="15.75" customHeight="1">
      <c r="E908" s="58"/>
    </row>
    <row r="909" ht="15.75" customHeight="1">
      <c r="E909" s="58"/>
    </row>
    <row r="910" ht="15.75" customHeight="1">
      <c r="E910" s="58"/>
    </row>
    <row r="911" ht="15.75" customHeight="1">
      <c r="E911" s="58"/>
    </row>
    <row r="912" ht="15.75" customHeight="1">
      <c r="E912" s="58"/>
    </row>
    <row r="913" ht="15.75" customHeight="1">
      <c r="E913" s="58"/>
    </row>
    <row r="914" ht="15.75" customHeight="1">
      <c r="E914" s="58"/>
    </row>
    <row r="915" ht="15.75" customHeight="1">
      <c r="E915" s="58"/>
    </row>
    <row r="916" ht="15.75" customHeight="1">
      <c r="E916" s="58"/>
    </row>
    <row r="917" ht="15.75" customHeight="1">
      <c r="E917" s="58"/>
    </row>
    <row r="918" ht="15.75" customHeight="1">
      <c r="E918" s="58"/>
    </row>
    <row r="919" ht="15.75" customHeight="1">
      <c r="E919" s="58"/>
    </row>
    <row r="920" ht="15.75" customHeight="1">
      <c r="E920" s="58"/>
    </row>
    <row r="921" ht="15.75" customHeight="1">
      <c r="E921" s="58"/>
    </row>
    <row r="922" ht="15.75" customHeight="1">
      <c r="E922" s="58"/>
    </row>
    <row r="923" ht="15.75" customHeight="1">
      <c r="E923" s="58"/>
    </row>
    <row r="924" ht="15.75" customHeight="1">
      <c r="E924" s="58"/>
    </row>
    <row r="925" ht="15.75" customHeight="1">
      <c r="E925" s="58"/>
    </row>
    <row r="926" ht="15.75" customHeight="1">
      <c r="E926" s="58"/>
    </row>
    <row r="927" ht="15.75" customHeight="1">
      <c r="E927" s="58"/>
    </row>
    <row r="928" ht="15.75" customHeight="1">
      <c r="E928" s="58"/>
    </row>
    <row r="929" ht="15.75" customHeight="1">
      <c r="E929" s="58"/>
    </row>
    <row r="930" ht="15.75" customHeight="1">
      <c r="E930" s="58"/>
    </row>
    <row r="931" ht="15.75" customHeight="1">
      <c r="E931" s="58"/>
    </row>
    <row r="932" ht="15.75" customHeight="1">
      <c r="E932" s="58"/>
    </row>
    <row r="933" ht="15.75" customHeight="1">
      <c r="E933" s="58"/>
    </row>
    <row r="934" ht="15.75" customHeight="1">
      <c r="E934" s="58"/>
    </row>
    <row r="935" ht="15.75" customHeight="1">
      <c r="E935" s="58"/>
    </row>
    <row r="936" ht="15.75" customHeight="1">
      <c r="E936" s="58"/>
    </row>
    <row r="937" ht="15.75" customHeight="1">
      <c r="E937" s="58"/>
    </row>
    <row r="938" ht="15.75" customHeight="1">
      <c r="E938" s="58"/>
    </row>
    <row r="939" ht="15.75" customHeight="1">
      <c r="E939" s="58"/>
    </row>
    <row r="940" ht="15.75" customHeight="1">
      <c r="E940" s="58"/>
    </row>
    <row r="941" ht="15.75" customHeight="1">
      <c r="E941" s="58"/>
    </row>
    <row r="942" ht="15.75" customHeight="1">
      <c r="E942" s="58"/>
    </row>
    <row r="943" ht="15.75" customHeight="1">
      <c r="E943" s="58"/>
    </row>
    <row r="944" ht="15.75" customHeight="1">
      <c r="E944" s="58"/>
    </row>
    <row r="945" ht="15.75" customHeight="1">
      <c r="E945" s="58"/>
    </row>
    <row r="946" ht="15.75" customHeight="1">
      <c r="E946" s="58"/>
    </row>
    <row r="947" ht="15.75" customHeight="1">
      <c r="E947" s="58"/>
    </row>
    <row r="948" ht="15.75" customHeight="1">
      <c r="E948" s="58"/>
    </row>
    <row r="949" ht="15.75" customHeight="1">
      <c r="E949" s="58"/>
    </row>
    <row r="950" ht="15.75" customHeight="1">
      <c r="E950" s="58"/>
    </row>
    <row r="951" ht="15.75" customHeight="1">
      <c r="E951" s="58"/>
    </row>
    <row r="952" ht="15.75" customHeight="1">
      <c r="E952" s="58"/>
    </row>
    <row r="953" ht="15.75" customHeight="1">
      <c r="E953" s="58"/>
    </row>
    <row r="954" ht="15.75" customHeight="1">
      <c r="E954" s="58"/>
    </row>
    <row r="955" ht="15.75" customHeight="1">
      <c r="E955" s="58"/>
    </row>
    <row r="956" ht="15.75" customHeight="1">
      <c r="E956" s="58"/>
    </row>
    <row r="957" ht="15.75" customHeight="1">
      <c r="E957" s="58"/>
    </row>
    <row r="958" ht="15.75" customHeight="1">
      <c r="E958" s="58"/>
    </row>
    <row r="959" ht="15.75" customHeight="1">
      <c r="E959" s="58"/>
    </row>
    <row r="960" ht="15.75" customHeight="1">
      <c r="E960" s="58"/>
    </row>
    <row r="961" ht="15.75" customHeight="1">
      <c r="E961" s="58"/>
    </row>
    <row r="962" ht="15.75" customHeight="1">
      <c r="E962" s="58"/>
    </row>
    <row r="963" ht="15.75" customHeight="1">
      <c r="E963" s="58"/>
    </row>
    <row r="964" ht="15.75" customHeight="1">
      <c r="E964" s="58"/>
    </row>
    <row r="965" ht="15.75" customHeight="1">
      <c r="E965" s="58"/>
    </row>
    <row r="966" ht="15.75" customHeight="1">
      <c r="E966" s="58"/>
    </row>
    <row r="967" ht="15.75" customHeight="1">
      <c r="E967" s="58"/>
    </row>
    <row r="968" ht="15.75" customHeight="1">
      <c r="E968" s="58"/>
    </row>
    <row r="969" ht="15.75" customHeight="1">
      <c r="E969" s="58"/>
    </row>
    <row r="970" ht="15.75" customHeight="1">
      <c r="E970" s="58"/>
    </row>
    <row r="971" ht="15.75" customHeight="1">
      <c r="E971" s="58"/>
    </row>
    <row r="972" ht="15.75" customHeight="1">
      <c r="E972" s="58"/>
    </row>
    <row r="973" ht="15.75" customHeight="1">
      <c r="E973" s="58"/>
    </row>
    <row r="974" ht="15.75" customHeight="1">
      <c r="E974" s="58"/>
    </row>
    <row r="975" ht="15.75" customHeight="1">
      <c r="E975" s="58"/>
    </row>
    <row r="976" ht="15.75" customHeight="1">
      <c r="E976" s="58"/>
    </row>
    <row r="977" ht="15.75" customHeight="1">
      <c r="E977" s="58"/>
    </row>
    <row r="978" ht="15.75" customHeight="1">
      <c r="E978" s="58"/>
    </row>
    <row r="979" ht="15.75" customHeight="1">
      <c r="E979" s="58"/>
    </row>
    <row r="980" ht="15.75" customHeight="1">
      <c r="E980" s="58"/>
    </row>
    <row r="981" ht="15.75" customHeight="1">
      <c r="E981" s="58"/>
    </row>
    <row r="982" ht="15.75" customHeight="1">
      <c r="E982" s="58"/>
    </row>
    <row r="983" ht="15.75" customHeight="1">
      <c r="E983" s="58"/>
    </row>
    <row r="984" ht="15.75" customHeight="1">
      <c r="E984" s="58"/>
    </row>
    <row r="985" ht="15.75" customHeight="1">
      <c r="E985" s="58"/>
    </row>
    <row r="986" ht="15.75" customHeight="1">
      <c r="E986" s="58"/>
    </row>
    <row r="987" ht="15.75" customHeight="1">
      <c r="E987" s="58"/>
    </row>
    <row r="988" ht="15.75" customHeight="1">
      <c r="E988" s="58"/>
    </row>
    <row r="989" ht="15.75" customHeight="1">
      <c r="E989" s="58"/>
    </row>
    <row r="990" ht="15.75" customHeight="1">
      <c r="E990" s="58"/>
    </row>
    <row r="991" ht="15.75" customHeight="1">
      <c r="E991" s="58"/>
    </row>
    <row r="992" ht="15.75" customHeight="1">
      <c r="E992" s="58"/>
    </row>
    <row r="993" ht="15.75" customHeight="1">
      <c r="E993" s="58"/>
    </row>
    <row r="994" ht="15.75" customHeight="1">
      <c r="E994" s="58"/>
    </row>
    <row r="995" ht="15.75" customHeight="1">
      <c r="E995" s="58"/>
    </row>
    <row r="996" ht="15.75" customHeight="1">
      <c r="E996" s="58"/>
    </row>
    <row r="997" ht="15.75" customHeight="1">
      <c r="E997" s="58"/>
    </row>
    <row r="998" ht="15.75" customHeight="1">
      <c r="E998" s="58"/>
    </row>
    <row r="999" ht="15.75" customHeight="1">
      <c r="E999" s="58"/>
    </row>
    <row r="1000" ht="15.75" customHeight="1">
      <c r="E1000" s="58"/>
    </row>
  </sheetData>
  <mergeCells count="1">
    <mergeCell ref="A1:L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18.25"/>
    <col customWidth="1" min="3" max="3" width="17.38"/>
    <col customWidth="1" min="4" max="4" width="28.13"/>
    <col customWidth="1" min="5" max="5" width="33.88"/>
    <col customWidth="1" min="6" max="6" width="16.0"/>
    <col customWidth="1" min="7" max="8" width="21.38"/>
    <col customWidth="1" min="9" max="9" width="23.0"/>
    <col customWidth="1" min="10" max="10" width="27.75"/>
    <col customWidth="1" min="11" max="11" width="23.5"/>
    <col customWidth="1" min="13" max="13" width="36.25"/>
    <col customWidth="1" min="14" max="14" width="22.38"/>
    <col customWidth="1" min="15" max="15" width="33.88"/>
  </cols>
  <sheetData>
    <row r="1" ht="333.0" customHeight="1">
      <c r="A1" s="94" t="s">
        <v>226</v>
      </c>
    </row>
    <row r="2" ht="15.75" customHeight="1">
      <c r="A2" s="95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58"/>
      <c r="N2" s="58"/>
    </row>
    <row r="3" ht="15.75" customHeight="1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</row>
    <row r="4" ht="15.75" customHeight="1">
      <c r="A4" s="96" t="s">
        <v>227</v>
      </c>
      <c r="B4" s="96" t="s">
        <v>228</v>
      </c>
      <c r="C4" s="96" t="s">
        <v>229</v>
      </c>
      <c r="D4" s="96" t="s">
        <v>230</v>
      </c>
      <c r="E4" s="96" t="s">
        <v>231</v>
      </c>
      <c r="F4" s="96" t="s">
        <v>232</v>
      </c>
      <c r="G4" s="98" t="s">
        <v>233</v>
      </c>
      <c r="H4" s="96" t="s">
        <v>234</v>
      </c>
      <c r="I4" s="96" t="s">
        <v>235</v>
      </c>
      <c r="J4" s="96" t="s">
        <v>236</v>
      </c>
      <c r="K4" s="96" t="s">
        <v>237</v>
      </c>
      <c r="L4" s="96" t="s">
        <v>238</v>
      </c>
      <c r="M4" s="96" t="s">
        <v>239</v>
      </c>
      <c r="N4" s="98" t="s">
        <v>240</v>
      </c>
      <c r="O4" s="98" t="s">
        <v>241</v>
      </c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</row>
    <row r="5" ht="15.75" customHeight="1">
      <c r="A5" s="95"/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</row>
    <row r="6" ht="15.75" customHeight="1">
      <c r="A6" s="95">
        <v>1.0</v>
      </c>
      <c r="B6" s="99" t="s">
        <v>242</v>
      </c>
      <c r="C6" s="95">
        <v>50.0</v>
      </c>
      <c r="D6" s="95" t="s">
        <v>243</v>
      </c>
      <c r="E6" s="99" t="s">
        <v>244</v>
      </c>
      <c r="F6" s="99" t="s">
        <v>245</v>
      </c>
      <c r="G6" s="95"/>
      <c r="H6" s="95">
        <v>42.0</v>
      </c>
      <c r="I6" s="95">
        <v>5.0</v>
      </c>
      <c r="J6" s="95">
        <v>0.18</v>
      </c>
      <c r="K6" s="95" t="s">
        <v>246</v>
      </c>
      <c r="L6" s="95" t="s">
        <v>247</v>
      </c>
      <c r="M6" s="95">
        <v>2.0</v>
      </c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</row>
    <row r="7" ht="15.75" customHeight="1">
      <c r="A7" s="95">
        <v>2.0</v>
      </c>
      <c r="B7" s="99" t="s">
        <v>248</v>
      </c>
      <c r="C7" s="95">
        <v>50.0</v>
      </c>
      <c r="D7" s="95" t="s">
        <v>249</v>
      </c>
      <c r="E7" s="99" t="s">
        <v>244</v>
      </c>
      <c r="F7" s="99" t="s">
        <v>250</v>
      </c>
      <c r="G7" s="95"/>
      <c r="H7" s="95">
        <v>42.0</v>
      </c>
      <c r="I7" s="95" t="s">
        <v>251</v>
      </c>
      <c r="J7" s="95">
        <v>0.05</v>
      </c>
      <c r="K7" s="95" t="s">
        <v>252</v>
      </c>
      <c r="L7" s="95" t="s">
        <v>247</v>
      </c>
      <c r="M7" s="95">
        <v>1.0</v>
      </c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</row>
    <row r="8" ht="15.75" customHeight="1">
      <c r="A8" s="95">
        <v>3.0</v>
      </c>
      <c r="B8" s="99" t="s">
        <v>253</v>
      </c>
      <c r="C8" s="95">
        <v>50.0</v>
      </c>
      <c r="D8" s="95" t="s">
        <v>249</v>
      </c>
      <c r="E8" s="99" t="s">
        <v>254</v>
      </c>
      <c r="F8" s="99" t="s">
        <v>255</v>
      </c>
      <c r="G8" s="95"/>
      <c r="H8" s="95">
        <v>42.0</v>
      </c>
      <c r="I8" s="95" t="s">
        <v>256</v>
      </c>
      <c r="J8" s="95">
        <v>0.25</v>
      </c>
      <c r="K8" s="95" t="s">
        <v>252</v>
      </c>
      <c r="L8" s="95" t="s">
        <v>257</v>
      </c>
      <c r="M8" s="95">
        <v>3.0</v>
      </c>
      <c r="N8" s="58"/>
    </row>
    <row r="9" ht="15.75" customHeight="1">
      <c r="A9" s="99">
        <v>4.0</v>
      </c>
      <c r="B9" s="99" t="s">
        <v>258</v>
      </c>
      <c r="C9" s="99">
        <v>50.0</v>
      </c>
      <c r="D9" s="99" t="s">
        <v>259</v>
      </c>
      <c r="E9" s="99" t="s">
        <v>260</v>
      </c>
      <c r="F9" s="99" t="s">
        <v>261</v>
      </c>
      <c r="G9" s="99" t="s">
        <v>262</v>
      </c>
      <c r="H9" s="99">
        <v>42.9</v>
      </c>
      <c r="I9" s="99" t="s">
        <v>262</v>
      </c>
      <c r="J9" s="95"/>
      <c r="K9" s="95" t="s">
        <v>252</v>
      </c>
      <c r="L9" s="99" t="s">
        <v>263</v>
      </c>
      <c r="M9" s="63">
        <v>3.0</v>
      </c>
      <c r="N9" s="58"/>
    </row>
    <row r="10" ht="15.75" customHeight="1">
      <c r="A10" s="100">
        <v>5.0</v>
      </c>
      <c r="B10" s="101" t="s">
        <v>264</v>
      </c>
      <c r="C10" s="100">
        <v>48.9</v>
      </c>
      <c r="D10" s="100" t="s">
        <v>259</v>
      </c>
      <c r="E10" s="100" t="s">
        <v>265</v>
      </c>
      <c r="F10" s="100" t="s">
        <v>266</v>
      </c>
      <c r="G10" s="100" t="s">
        <v>267</v>
      </c>
      <c r="H10" s="100">
        <v>42.55</v>
      </c>
      <c r="I10" s="100" t="s">
        <v>267</v>
      </c>
      <c r="J10" s="102"/>
      <c r="K10" s="102" t="s">
        <v>252</v>
      </c>
      <c r="L10" s="100" t="s">
        <v>263</v>
      </c>
      <c r="M10" s="101">
        <v>1.0</v>
      </c>
      <c r="N10" s="103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</row>
    <row r="11" ht="15.75" customHeight="1">
      <c r="A11" s="100">
        <v>6.0</v>
      </c>
      <c r="B11" s="100" t="s">
        <v>268</v>
      </c>
      <c r="C11" s="100">
        <v>48.9</v>
      </c>
      <c r="D11" s="100" t="s">
        <v>259</v>
      </c>
      <c r="E11" s="100" t="s">
        <v>265</v>
      </c>
      <c r="F11" s="100" t="s">
        <v>269</v>
      </c>
      <c r="G11" s="100" t="s">
        <v>270</v>
      </c>
      <c r="H11" s="100">
        <v>42.66</v>
      </c>
      <c r="I11" s="100" t="s">
        <v>270</v>
      </c>
      <c r="J11" s="102"/>
      <c r="K11" s="102" t="s">
        <v>252</v>
      </c>
      <c r="L11" s="100" t="s">
        <v>263</v>
      </c>
      <c r="M11" s="101">
        <v>1.0</v>
      </c>
      <c r="N11" s="103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</row>
    <row r="12" ht="15.75" customHeight="1">
      <c r="A12" s="100">
        <v>7.0</v>
      </c>
      <c r="B12" s="105">
        <v>0.6581828703703704</v>
      </c>
      <c r="C12" s="100">
        <v>50.21</v>
      </c>
      <c r="D12" s="100" t="s">
        <v>259</v>
      </c>
      <c r="E12" s="100" t="s">
        <v>271</v>
      </c>
      <c r="F12" s="100" t="s">
        <v>272</v>
      </c>
      <c r="G12" s="100" t="s">
        <v>273</v>
      </c>
      <c r="H12" s="100">
        <v>42.9</v>
      </c>
      <c r="I12" s="100" t="s">
        <v>273</v>
      </c>
      <c r="J12" s="102"/>
      <c r="K12" s="102" t="s">
        <v>252</v>
      </c>
      <c r="L12" s="100" t="s">
        <v>263</v>
      </c>
      <c r="M12" s="101">
        <v>1.0</v>
      </c>
      <c r="N12" s="103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</row>
    <row r="13" ht="15.75" customHeight="1">
      <c r="A13" s="106">
        <v>8.0</v>
      </c>
      <c r="B13" s="107">
        <v>0.0890625</v>
      </c>
      <c r="C13" s="99">
        <v>50.0</v>
      </c>
      <c r="D13" s="100" t="s">
        <v>259</v>
      </c>
      <c r="E13" s="100" t="s">
        <v>265</v>
      </c>
      <c r="F13" s="108">
        <v>0.0939699074074074</v>
      </c>
      <c r="G13" s="99" t="s">
        <v>274</v>
      </c>
      <c r="H13" s="99">
        <v>42.0</v>
      </c>
      <c r="I13" s="99" t="s">
        <v>274</v>
      </c>
      <c r="J13" s="99" t="s">
        <v>275</v>
      </c>
      <c r="K13" s="99" t="s">
        <v>252</v>
      </c>
      <c r="L13" s="99" t="s">
        <v>276</v>
      </c>
      <c r="M13" s="63">
        <v>1.0</v>
      </c>
      <c r="N13" s="109" t="s">
        <v>277</v>
      </c>
    </row>
    <row r="14" ht="15.75" customHeight="1">
      <c r="A14" s="99">
        <v>9.0</v>
      </c>
      <c r="B14" s="108">
        <v>0.11983796296296297</v>
      </c>
      <c r="C14" s="99">
        <v>49.4</v>
      </c>
      <c r="D14" s="100" t="s">
        <v>259</v>
      </c>
      <c r="E14" s="100" t="s">
        <v>265</v>
      </c>
      <c r="F14" s="108">
        <v>0.1255902777777778</v>
      </c>
      <c r="G14" s="99" t="s">
        <v>278</v>
      </c>
      <c r="H14" s="99">
        <v>42.6</v>
      </c>
      <c r="I14" s="99" t="s">
        <v>278</v>
      </c>
      <c r="J14" s="99" t="s">
        <v>279</v>
      </c>
      <c r="K14" s="99" t="s">
        <v>252</v>
      </c>
      <c r="L14" s="99" t="s">
        <v>276</v>
      </c>
      <c r="M14" s="63">
        <v>1.0</v>
      </c>
      <c r="N14" s="109" t="s">
        <v>277</v>
      </c>
      <c r="O14" s="7" t="s">
        <v>280</v>
      </c>
    </row>
    <row r="15" ht="15.75" customHeight="1">
      <c r="A15" s="95"/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58"/>
      <c r="N15" s="58"/>
    </row>
    <row r="16" ht="15.75" customHeight="1">
      <c r="A16" s="95"/>
      <c r="B16" s="95"/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58"/>
      <c r="N16" s="58"/>
    </row>
    <row r="17" ht="15.75" customHeight="1">
      <c r="A17" s="95"/>
      <c r="B17" s="95"/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58"/>
      <c r="N17" s="58"/>
    </row>
    <row r="18" ht="15.75" customHeight="1">
      <c r="A18" s="95"/>
      <c r="B18" s="95"/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58"/>
      <c r="N18" s="58"/>
    </row>
    <row r="19" ht="15.75" customHeight="1">
      <c r="A19" s="95"/>
      <c r="B19" s="95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58"/>
      <c r="N19" s="58"/>
    </row>
    <row r="20" ht="15.75" customHeight="1">
      <c r="A20" s="95"/>
      <c r="B20" s="95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58"/>
      <c r="N20" s="58"/>
    </row>
    <row r="21" ht="15.75" customHeight="1">
      <c r="A21" s="95"/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58"/>
      <c r="N21" s="58"/>
    </row>
    <row r="22" ht="15.75" customHeight="1">
      <c r="A22" s="95"/>
      <c r="B22" s="95"/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58"/>
      <c r="N22" s="58"/>
    </row>
    <row r="23" ht="15.75" customHeight="1">
      <c r="A23" s="95"/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58"/>
      <c r="N23" s="58"/>
    </row>
    <row r="24" ht="15.75" customHeight="1">
      <c r="A24" s="95"/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58"/>
      <c r="N24" s="58"/>
    </row>
    <row r="25" ht="15.75" customHeight="1">
      <c r="A25" s="95"/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58"/>
      <c r="N25" s="58"/>
    </row>
    <row r="26" ht="15.75" customHeight="1">
      <c r="A26" s="95"/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58"/>
      <c r="N26" s="58"/>
    </row>
    <row r="27" ht="15.75" customHeight="1">
      <c r="A27" s="95"/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58"/>
      <c r="N27" s="58"/>
    </row>
    <row r="28" ht="15.75" customHeight="1">
      <c r="A28" s="95"/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58"/>
      <c r="N28" s="58"/>
    </row>
    <row r="29" ht="15.75" customHeight="1">
      <c r="A29" s="95"/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58"/>
      <c r="N29" s="58"/>
    </row>
    <row r="30" ht="15.75" customHeight="1">
      <c r="A30" s="95"/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58"/>
      <c r="N30" s="58"/>
    </row>
    <row r="31" ht="15.75" customHeight="1">
      <c r="A31" s="95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58"/>
      <c r="N31" s="58"/>
    </row>
    <row r="32" ht="15.75" customHeight="1">
      <c r="A32" s="95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58"/>
      <c r="N32" s="58"/>
    </row>
    <row r="33" ht="15.75" customHeight="1">
      <c r="A33" s="95"/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58"/>
      <c r="N33" s="58"/>
    </row>
    <row r="34" ht="15.75" customHeight="1">
      <c r="A34" s="95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58"/>
      <c r="N34" s="58"/>
    </row>
    <row r="35" ht="15.75" customHeight="1">
      <c r="A35" s="95"/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58"/>
      <c r="N35" s="58"/>
    </row>
    <row r="36" ht="15.75" customHeight="1">
      <c r="A36" s="95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58"/>
      <c r="N36" s="58"/>
    </row>
    <row r="37" ht="15.75" customHeight="1">
      <c r="A37" s="95"/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58"/>
      <c r="N37" s="58"/>
    </row>
    <row r="38" ht="15.75" customHeight="1">
      <c r="A38" s="95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58"/>
      <c r="N38" s="58"/>
    </row>
    <row r="39" ht="15.75" customHeight="1">
      <c r="A39" s="95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58"/>
      <c r="N39" s="58"/>
    </row>
    <row r="40" ht="15.75" customHeight="1">
      <c r="A40" s="95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58"/>
      <c r="N40" s="58"/>
    </row>
    <row r="41" ht="15.75" customHeight="1">
      <c r="A41" s="95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58"/>
      <c r="N41" s="58"/>
    </row>
    <row r="42" ht="15.75" customHeight="1">
      <c r="A42" s="95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58"/>
      <c r="N42" s="58"/>
    </row>
    <row r="43" ht="15.75" customHeight="1">
      <c r="A43" s="95"/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58"/>
      <c r="N43" s="58"/>
    </row>
    <row r="44" ht="15.75" customHeight="1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58"/>
      <c r="N44" s="58"/>
    </row>
    <row r="45" ht="15.75" customHeight="1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58"/>
      <c r="N45" s="58"/>
    </row>
    <row r="46" ht="15.75" customHeight="1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58"/>
      <c r="N46" s="58"/>
    </row>
    <row r="47" ht="15.75" customHeight="1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58"/>
      <c r="N47" s="58"/>
    </row>
    <row r="48" ht="15.75" customHeight="1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58"/>
      <c r="N48" s="58"/>
    </row>
    <row r="49" ht="15.75" customHeight="1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58"/>
      <c r="N49" s="58"/>
    </row>
    <row r="50" ht="15.75" customHeight="1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58"/>
      <c r="N50" s="58"/>
    </row>
    <row r="51" ht="15.75" customHeight="1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58"/>
      <c r="N51" s="58"/>
    </row>
    <row r="52" ht="15.75" customHeight="1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58"/>
      <c r="N52" s="58"/>
    </row>
    <row r="53" ht="15.75" customHeight="1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58"/>
      <c r="N53" s="58"/>
    </row>
    <row r="54" ht="15.75" customHeight="1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58"/>
      <c r="N54" s="58"/>
    </row>
    <row r="55" ht="15.75" customHeight="1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58"/>
      <c r="N55" s="58"/>
    </row>
    <row r="56" ht="15.75" customHeight="1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58"/>
      <c r="N56" s="58"/>
    </row>
    <row r="57" ht="15.75" customHeight="1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58"/>
      <c r="N57" s="58"/>
    </row>
    <row r="58" ht="15.75" customHeight="1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58"/>
      <c r="N58" s="58"/>
    </row>
    <row r="59" ht="15.75" customHeight="1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58"/>
      <c r="N59" s="58"/>
    </row>
    <row r="60" ht="15.75" customHeight="1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58"/>
      <c r="N60" s="58"/>
    </row>
    <row r="61" ht="15.75" customHeight="1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58"/>
      <c r="N61" s="58"/>
    </row>
    <row r="62" ht="15.75" customHeight="1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58"/>
      <c r="N62" s="58"/>
    </row>
    <row r="63" ht="15.75" customHeight="1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58"/>
      <c r="N63" s="58"/>
    </row>
    <row r="64" ht="15.75" customHeight="1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58"/>
      <c r="N64" s="58"/>
    </row>
    <row r="65" ht="15.75" customHeight="1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58"/>
      <c r="N65" s="58"/>
    </row>
    <row r="66" ht="15.75" customHeight="1">
      <c r="A66" s="95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58"/>
      <c r="N66" s="58"/>
    </row>
    <row r="67" ht="15.75" customHeight="1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58"/>
      <c r="N67" s="58"/>
    </row>
    <row r="68" ht="15.75" customHeight="1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58"/>
      <c r="N68" s="58"/>
    </row>
    <row r="69" ht="15.75" customHeight="1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58"/>
      <c r="N69" s="58"/>
    </row>
    <row r="70" ht="15.75" customHeight="1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58"/>
      <c r="N70" s="58"/>
    </row>
    <row r="71" ht="15.75" customHeight="1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58"/>
      <c r="N71" s="58"/>
    </row>
    <row r="72" ht="15.75" customHeight="1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58"/>
      <c r="N72" s="58"/>
    </row>
    <row r="73" ht="15.75" customHeight="1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58"/>
      <c r="N73" s="58"/>
    </row>
    <row r="74" ht="15.75" customHeight="1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58"/>
      <c r="N74" s="58"/>
    </row>
    <row r="75" ht="15.75" customHeight="1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58"/>
      <c r="N75" s="58"/>
    </row>
    <row r="76" ht="15.75" customHeight="1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58"/>
      <c r="N76" s="58"/>
    </row>
    <row r="77" ht="15.75" customHeight="1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58"/>
      <c r="N77" s="58"/>
    </row>
    <row r="78" ht="15.75" customHeight="1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58"/>
      <c r="N78" s="58"/>
    </row>
    <row r="79" ht="15.75" customHeight="1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58"/>
      <c r="N79" s="58"/>
    </row>
    <row r="80" ht="15.75" customHeight="1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58"/>
      <c r="N80" s="58"/>
    </row>
    <row r="81" ht="15.75" customHeight="1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58"/>
      <c r="N81" s="58"/>
    </row>
    <row r="82" ht="15.75" customHeight="1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58"/>
      <c r="N82" s="58"/>
    </row>
    <row r="83" ht="15.75" customHeight="1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58"/>
      <c r="N83" s="58"/>
    </row>
    <row r="84" ht="15.75" customHeight="1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58"/>
      <c r="N84" s="58"/>
    </row>
    <row r="85" ht="15.75" customHeight="1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58"/>
      <c r="N85" s="58"/>
    </row>
    <row r="86" ht="15.75" customHeight="1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58"/>
      <c r="N86" s="58"/>
    </row>
    <row r="87" ht="15.75" customHeight="1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58"/>
      <c r="N87" s="58"/>
    </row>
    <row r="88" ht="15.75" customHeight="1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58"/>
      <c r="N88" s="58"/>
    </row>
    <row r="89" ht="15.75" customHeight="1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58"/>
      <c r="N89" s="58"/>
    </row>
    <row r="90" ht="15.75" customHeight="1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58"/>
      <c r="N90" s="58"/>
    </row>
    <row r="91" ht="15.75" customHeight="1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58"/>
      <c r="N91" s="58"/>
    </row>
    <row r="92" ht="15.75" customHeight="1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58"/>
      <c r="N92" s="58"/>
    </row>
    <row r="93" ht="15.75" customHeight="1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58"/>
      <c r="N93" s="58"/>
    </row>
    <row r="94" ht="15.75" customHeight="1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58"/>
      <c r="N94" s="58"/>
    </row>
    <row r="95" ht="15.75" customHeight="1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58"/>
      <c r="N95" s="58"/>
    </row>
    <row r="96" ht="15.75" customHeight="1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58"/>
      <c r="N96" s="58"/>
    </row>
    <row r="97" ht="15.75" customHeight="1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58"/>
      <c r="N97" s="58"/>
    </row>
    <row r="98" ht="15.75" customHeight="1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58"/>
      <c r="N98" s="58"/>
    </row>
    <row r="99" ht="15.75" customHeight="1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58"/>
      <c r="N99" s="58"/>
    </row>
    <row r="100" ht="15.75" customHeight="1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58"/>
      <c r="N100" s="58"/>
    </row>
    <row r="101" ht="15.75" customHeight="1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58"/>
      <c r="N101" s="58"/>
    </row>
    <row r="102" ht="15.75" customHeight="1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58"/>
      <c r="N102" s="58"/>
    </row>
    <row r="103" ht="15.75" customHeight="1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58"/>
      <c r="N103" s="58"/>
    </row>
    <row r="104" ht="15.75" customHeight="1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58"/>
      <c r="N104" s="58"/>
    </row>
    <row r="105" ht="15.75" customHeight="1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58"/>
      <c r="N105" s="58"/>
    </row>
    <row r="106" ht="15.75" customHeight="1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58"/>
      <c r="N106" s="58"/>
    </row>
    <row r="107" ht="15.75" customHeight="1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58"/>
      <c r="N107" s="58"/>
    </row>
    <row r="108" ht="15.75" customHeight="1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58"/>
      <c r="N108" s="58"/>
    </row>
    <row r="109" ht="15.75" customHeight="1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58"/>
      <c r="N109" s="58"/>
    </row>
    <row r="110" ht="15.75" customHeight="1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58"/>
      <c r="N110" s="58"/>
    </row>
    <row r="111" ht="15.75" customHeight="1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58"/>
      <c r="N111" s="58"/>
    </row>
    <row r="112" ht="15.75" customHeight="1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58"/>
      <c r="N112" s="58"/>
    </row>
    <row r="113" ht="15.75" customHeight="1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58"/>
      <c r="N113" s="58"/>
    </row>
    <row r="114" ht="15.75" customHeight="1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58"/>
      <c r="N114" s="58"/>
    </row>
    <row r="115" ht="15.75" customHeight="1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58"/>
      <c r="N115" s="58"/>
    </row>
    <row r="116" ht="15.75" customHeight="1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58"/>
      <c r="N116" s="58"/>
    </row>
    <row r="117" ht="15.75" customHeight="1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58"/>
      <c r="N117" s="58"/>
    </row>
    <row r="118" ht="15.75" customHeight="1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58"/>
      <c r="N118" s="58"/>
    </row>
    <row r="119" ht="15.75" customHeight="1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58"/>
      <c r="N119" s="58"/>
    </row>
    <row r="120" ht="15.75" customHeight="1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58"/>
      <c r="N120" s="58"/>
    </row>
    <row r="121" ht="15.75" customHeight="1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58"/>
      <c r="N121" s="58"/>
    </row>
    <row r="122" ht="15.75" customHeight="1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58"/>
      <c r="N122" s="58"/>
    </row>
    <row r="123" ht="15.75" customHeight="1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58"/>
      <c r="N123" s="58"/>
    </row>
    <row r="124" ht="15.75" customHeight="1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58"/>
      <c r="N124" s="58"/>
    </row>
    <row r="125" ht="15.75" customHeight="1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58"/>
      <c r="N125" s="58"/>
    </row>
    <row r="126" ht="15.75" customHeight="1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58"/>
      <c r="N126" s="58"/>
    </row>
    <row r="127" ht="15.75" customHeight="1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58"/>
      <c r="N127" s="58"/>
    </row>
    <row r="128" ht="15.75" customHeight="1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58"/>
      <c r="N128" s="58"/>
    </row>
    <row r="129" ht="15.75" customHeight="1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58"/>
      <c r="N129" s="58"/>
    </row>
    <row r="130" ht="15.75" customHeight="1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58"/>
      <c r="N130" s="58"/>
    </row>
    <row r="131" ht="15.75" customHeight="1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58"/>
      <c r="N131" s="58"/>
    </row>
    <row r="132" ht="15.75" customHeight="1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58"/>
      <c r="N132" s="58"/>
    </row>
    <row r="133" ht="15.75" customHeight="1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58"/>
      <c r="N133" s="58"/>
    </row>
    <row r="134" ht="15.75" customHeight="1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58"/>
      <c r="N134" s="58"/>
    </row>
    <row r="135" ht="15.75" customHeight="1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58"/>
      <c r="N135" s="58"/>
    </row>
    <row r="136" ht="15.75" customHeight="1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58"/>
      <c r="N136" s="58"/>
    </row>
    <row r="137" ht="15.75" customHeight="1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58"/>
      <c r="N137" s="58"/>
    </row>
    <row r="138" ht="15.75" customHeight="1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58"/>
      <c r="N138" s="58"/>
    </row>
    <row r="139" ht="15.75" customHeight="1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58"/>
      <c r="N139" s="58"/>
    </row>
    <row r="140" ht="15.75" customHeight="1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58"/>
      <c r="N140" s="58"/>
    </row>
    <row r="141" ht="15.75" customHeight="1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58"/>
      <c r="N141" s="58"/>
    </row>
    <row r="142" ht="15.75" customHeight="1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58"/>
      <c r="N142" s="58"/>
    </row>
    <row r="143" ht="15.75" customHeight="1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58"/>
      <c r="N143" s="58"/>
    </row>
    <row r="144" ht="15.75" customHeight="1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58"/>
      <c r="N144" s="58"/>
    </row>
    <row r="145" ht="15.75" customHeight="1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58"/>
      <c r="N145" s="58"/>
    </row>
    <row r="146" ht="15.75" customHeight="1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58"/>
      <c r="N146" s="58"/>
    </row>
    <row r="147" ht="15.75" customHeight="1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58"/>
      <c r="N147" s="58"/>
    </row>
    <row r="148" ht="15.75" customHeight="1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58"/>
      <c r="N148" s="58"/>
    </row>
    <row r="149" ht="15.75" customHeight="1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58"/>
      <c r="N149" s="58"/>
    </row>
    <row r="150" ht="15.75" customHeight="1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58"/>
      <c r="N150" s="58"/>
    </row>
    <row r="151" ht="15.75" customHeight="1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58"/>
      <c r="N151" s="58"/>
    </row>
    <row r="152" ht="15.75" customHeight="1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58"/>
      <c r="N152" s="58"/>
    </row>
    <row r="153" ht="15.75" customHeight="1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58"/>
      <c r="N153" s="58"/>
    </row>
    <row r="154" ht="15.75" customHeight="1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58"/>
      <c r="N154" s="58"/>
    </row>
    <row r="155" ht="15.75" customHeight="1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58"/>
      <c r="N155" s="58"/>
    </row>
    <row r="156" ht="15.75" customHeight="1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58"/>
      <c r="N156" s="58"/>
    </row>
    <row r="157" ht="15.75" customHeight="1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58"/>
      <c r="N157" s="58"/>
    </row>
    <row r="158" ht="15.75" customHeight="1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58"/>
      <c r="N158" s="58"/>
    </row>
    <row r="159" ht="15.75" customHeight="1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58"/>
      <c r="N159" s="58"/>
    </row>
    <row r="160" ht="15.75" customHeight="1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58"/>
      <c r="N160" s="58"/>
    </row>
    <row r="161" ht="15.75" customHeight="1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58"/>
      <c r="N161" s="58"/>
    </row>
    <row r="162" ht="15.75" customHeight="1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58"/>
      <c r="N162" s="58"/>
    </row>
    <row r="163" ht="15.75" customHeight="1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58"/>
      <c r="N163" s="58"/>
    </row>
    <row r="164" ht="15.75" customHeight="1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58"/>
      <c r="N164" s="58"/>
    </row>
    <row r="165" ht="15.75" customHeight="1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58"/>
      <c r="N165" s="58"/>
    </row>
    <row r="166" ht="15.75" customHeight="1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58"/>
      <c r="N166" s="58"/>
    </row>
    <row r="167" ht="15.75" customHeight="1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58"/>
      <c r="N167" s="58"/>
    </row>
    <row r="168" ht="15.75" customHeight="1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58"/>
      <c r="N168" s="58"/>
    </row>
    <row r="169" ht="15.75" customHeight="1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58"/>
      <c r="N169" s="58"/>
    </row>
    <row r="170" ht="15.75" customHeight="1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58"/>
      <c r="N170" s="58"/>
    </row>
    <row r="171" ht="15.75" customHeight="1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58"/>
      <c r="N171" s="58"/>
    </row>
    <row r="172" ht="15.75" customHeight="1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58"/>
      <c r="N172" s="58"/>
    </row>
    <row r="173" ht="15.75" customHeight="1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58"/>
      <c r="N173" s="58"/>
    </row>
    <row r="174" ht="15.75" customHeight="1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58"/>
      <c r="N174" s="58"/>
    </row>
    <row r="175" ht="15.75" customHeight="1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58"/>
      <c r="N175" s="58"/>
    </row>
    <row r="176" ht="15.75" customHeight="1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58"/>
      <c r="N176" s="58"/>
    </row>
    <row r="177" ht="15.75" customHeight="1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58"/>
      <c r="N177" s="58"/>
    </row>
    <row r="178" ht="15.75" customHeight="1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58"/>
      <c r="N178" s="58"/>
    </row>
    <row r="179" ht="15.75" customHeight="1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58"/>
      <c r="N179" s="58"/>
    </row>
    <row r="180" ht="15.75" customHeight="1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58"/>
      <c r="N180" s="58"/>
    </row>
    <row r="181" ht="15.75" customHeight="1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58"/>
      <c r="N181" s="58"/>
    </row>
    <row r="182" ht="15.75" customHeight="1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58"/>
      <c r="N182" s="58"/>
    </row>
    <row r="183" ht="15.75" customHeight="1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58"/>
      <c r="N183" s="58"/>
    </row>
    <row r="184" ht="15.75" customHeight="1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58"/>
      <c r="N184" s="58"/>
    </row>
    <row r="185" ht="15.75" customHeight="1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58"/>
      <c r="N185" s="58"/>
    </row>
    <row r="186" ht="15.75" customHeight="1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58"/>
      <c r="N186" s="58"/>
    </row>
    <row r="187" ht="15.75" customHeight="1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58"/>
      <c r="N187" s="58"/>
    </row>
    <row r="188" ht="15.75" customHeight="1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58"/>
      <c r="N188" s="58"/>
    </row>
    <row r="189" ht="15.75" customHeight="1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58"/>
      <c r="N189" s="58"/>
    </row>
    <row r="190" ht="15.75" customHeight="1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58"/>
      <c r="N190" s="58"/>
    </row>
    <row r="191" ht="15.75" customHeight="1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58"/>
      <c r="N191" s="58"/>
    </row>
    <row r="192" ht="15.75" customHeight="1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58"/>
      <c r="N192" s="58"/>
    </row>
    <row r="193" ht="15.75" customHeight="1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58"/>
      <c r="N193" s="58"/>
    </row>
    <row r="194" ht="15.75" customHeight="1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58"/>
      <c r="N194" s="58"/>
    </row>
    <row r="195" ht="15.75" customHeight="1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58"/>
      <c r="N195" s="58"/>
    </row>
    <row r="196" ht="15.75" customHeight="1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58"/>
      <c r="N196" s="58"/>
    </row>
    <row r="197" ht="15.75" customHeight="1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58"/>
      <c r="N197" s="58"/>
    </row>
    <row r="198" ht="15.75" customHeight="1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58"/>
      <c r="N198" s="58"/>
    </row>
    <row r="199" ht="15.75" customHeight="1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58"/>
      <c r="N199" s="58"/>
    </row>
    <row r="200" ht="15.75" customHeight="1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58"/>
      <c r="N200" s="58"/>
    </row>
    <row r="201" ht="15.75" customHeight="1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58"/>
      <c r="N201" s="58"/>
    </row>
    <row r="202" ht="15.75" customHeight="1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58"/>
      <c r="N202" s="58"/>
    </row>
    <row r="203" ht="15.75" customHeight="1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58"/>
      <c r="N203" s="58"/>
    </row>
    <row r="204" ht="15.75" customHeight="1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58"/>
      <c r="N204" s="58"/>
    </row>
    <row r="205" ht="15.75" customHeight="1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58"/>
      <c r="N205" s="58"/>
    </row>
    <row r="206" ht="15.75" customHeight="1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58"/>
      <c r="N206" s="58"/>
    </row>
    <row r="207" ht="15.75" customHeight="1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58"/>
      <c r="N207" s="58"/>
    </row>
    <row r="208" ht="15.75" customHeight="1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58"/>
      <c r="N208" s="58"/>
    </row>
    <row r="209" ht="15.75" customHeight="1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58"/>
      <c r="N209" s="58"/>
    </row>
    <row r="210" ht="15.75" customHeight="1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58"/>
      <c r="N210" s="58"/>
    </row>
    <row r="211" ht="15.75" customHeight="1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58"/>
      <c r="N211" s="58"/>
    </row>
    <row r="212" ht="15.75" customHeight="1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58"/>
      <c r="N212" s="58"/>
    </row>
    <row r="213" ht="15.75" customHeight="1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58"/>
      <c r="N213" s="58"/>
    </row>
    <row r="214" ht="15.75" customHeight="1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58"/>
      <c r="N214" s="58"/>
    </row>
    <row r="215" ht="15.75" customHeight="1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58"/>
      <c r="N215" s="58"/>
    </row>
    <row r="216" ht="15.75" customHeight="1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58"/>
      <c r="N216" s="58"/>
    </row>
    <row r="217" ht="15.75" customHeight="1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58"/>
      <c r="N217" s="58"/>
    </row>
    <row r="218" ht="15.75" customHeight="1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58"/>
      <c r="N218" s="58"/>
    </row>
    <row r="219" ht="15.75" customHeight="1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58"/>
      <c r="N219" s="58"/>
    </row>
    <row r="220" ht="15.75" customHeight="1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58"/>
      <c r="N220" s="58"/>
    </row>
    <row r="221" ht="15.75" customHeight="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</row>
    <row r="222" ht="15.75" customHeight="1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</row>
    <row r="223" ht="15.75" customHeight="1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</row>
    <row r="224" ht="15.75" customHeight="1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</row>
    <row r="225" ht="15.75" customHeight="1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</row>
    <row r="226" ht="15.75" customHeight="1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</row>
    <row r="227" ht="15.75" customHeight="1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</row>
    <row r="228" ht="15.75" customHeight="1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</row>
    <row r="229" ht="15.75" customHeight="1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</row>
    <row r="230" ht="15.75" customHeight="1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</row>
    <row r="231" ht="15.75" customHeight="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</row>
    <row r="232" ht="15.75" customHeight="1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</row>
    <row r="233" ht="15.75" customHeight="1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</row>
    <row r="234" ht="15.75" customHeight="1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</row>
    <row r="235" ht="15.75" customHeight="1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</row>
    <row r="236" ht="15.75" customHeight="1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</row>
    <row r="237" ht="15.75" customHeight="1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</row>
    <row r="238" ht="15.75" customHeight="1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</row>
    <row r="239" ht="15.75" customHeight="1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</row>
    <row r="240" ht="15.75" customHeight="1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</row>
    <row r="241" ht="15.75" customHeight="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</row>
    <row r="242" ht="15.75" customHeight="1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</row>
    <row r="243" ht="15.75" customHeight="1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</row>
    <row r="244" ht="15.75" customHeight="1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</row>
    <row r="245" ht="15.75" customHeight="1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</row>
    <row r="246" ht="15.75" customHeight="1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</row>
    <row r="247" ht="15.75" customHeight="1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</row>
    <row r="248" ht="15.75" customHeight="1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</row>
    <row r="249" ht="15.75" customHeight="1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</row>
    <row r="250" ht="15.75" customHeight="1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</row>
    <row r="251" ht="15.75" customHeight="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</row>
    <row r="252" ht="15.75" customHeight="1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</row>
    <row r="253" ht="15.75" customHeight="1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</row>
    <row r="254" ht="15.75" customHeight="1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</row>
    <row r="255" ht="15.75" customHeight="1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</row>
    <row r="256" ht="15.75" customHeight="1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</row>
    <row r="257" ht="15.75" customHeight="1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</row>
    <row r="258" ht="15.75" customHeight="1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</row>
    <row r="259" ht="15.75" customHeight="1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</row>
    <row r="260" ht="15.75" customHeight="1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</row>
    <row r="261" ht="15.75" customHeight="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</row>
    <row r="262" ht="15.75" customHeight="1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</row>
    <row r="263" ht="15.75" customHeight="1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</row>
    <row r="264" ht="15.75" customHeight="1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</row>
    <row r="265" ht="15.75" customHeight="1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</row>
    <row r="266" ht="15.75" customHeight="1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</row>
    <row r="267" ht="15.75" customHeight="1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</row>
    <row r="268" ht="15.75" customHeight="1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</row>
    <row r="269" ht="15.75" customHeight="1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</row>
    <row r="270" ht="15.75" customHeight="1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</row>
    <row r="271" ht="15.75" customHeight="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</row>
    <row r="272" ht="15.75" customHeight="1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</row>
    <row r="273" ht="15.75" customHeight="1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</row>
    <row r="274" ht="15.75" customHeight="1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</row>
    <row r="275" ht="15.75" customHeight="1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</row>
    <row r="276" ht="15.75" customHeight="1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</row>
    <row r="277" ht="15.75" customHeight="1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</row>
    <row r="278" ht="15.75" customHeight="1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</row>
    <row r="279" ht="15.75" customHeight="1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</row>
    <row r="280" ht="15.75" customHeight="1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</row>
    <row r="281" ht="15.75" customHeight="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</row>
    <row r="282" ht="15.75" customHeight="1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</row>
    <row r="283" ht="15.75" customHeight="1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</row>
    <row r="284" ht="15.75" customHeight="1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</row>
    <row r="285" ht="15.75" customHeight="1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</row>
    <row r="286" ht="15.75" customHeight="1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</row>
    <row r="287" ht="15.75" customHeight="1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</row>
    <row r="288" ht="15.75" customHeight="1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</row>
    <row r="289" ht="15.75" customHeight="1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</row>
    <row r="290" ht="15.75" customHeight="1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</row>
    <row r="291" ht="15.75" customHeight="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</row>
    <row r="292" ht="15.75" customHeight="1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</row>
    <row r="293" ht="15.75" customHeight="1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</row>
    <row r="294" ht="15.75" customHeight="1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</row>
    <row r="295" ht="15.75" customHeight="1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</row>
    <row r="296" ht="15.75" customHeight="1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</row>
    <row r="297" ht="15.75" customHeight="1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</row>
    <row r="298" ht="15.75" customHeight="1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</row>
    <row r="299" ht="15.75" customHeight="1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</row>
    <row r="300" ht="15.75" customHeight="1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</row>
    <row r="301" ht="15.75" customHeight="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</row>
    <row r="302" ht="15.75" customHeight="1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</row>
    <row r="303" ht="15.75" customHeight="1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</row>
    <row r="304" ht="15.75" customHeight="1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</row>
    <row r="305" ht="15.75" customHeight="1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</row>
    <row r="306" ht="15.75" customHeight="1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</row>
    <row r="307" ht="15.75" customHeight="1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</row>
    <row r="308" ht="15.75" customHeight="1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</row>
    <row r="309" ht="15.75" customHeight="1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</row>
    <row r="310" ht="15.75" customHeight="1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</row>
    <row r="311" ht="15.75" customHeight="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</row>
    <row r="312" ht="15.75" customHeight="1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</row>
    <row r="313" ht="15.75" customHeight="1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</row>
    <row r="314" ht="15.75" customHeight="1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</row>
    <row r="315" ht="15.75" customHeight="1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</row>
    <row r="316" ht="15.75" customHeight="1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</row>
    <row r="317" ht="15.75" customHeight="1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</row>
    <row r="318" ht="15.75" customHeight="1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</row>
    <row r="319" ht="15.75" customHeight="1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</row>
    <row r="320" ht="15.75" customHeight="1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</row>
    <row r="321" ht="15.75" customHeight="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</row>
    <row r="322" ht="15.75" customHeight="1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</row>
    <row r="323" ht="15.75" customHeight="1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</row>
    <row r="324" ht="15.75" customHeight="1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</row>
    <row r="325" ht="15.75" customHeight="1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</row>
    <row r="326" ht="15.75" customHeight="1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</row>
    <row r="327" ht="15.75" customHeight="1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</row>
    <row r="328" ht="15.75" customHeight="1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</row>
    <row r="329" ht="15.75" customHeight="1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</row>
    <row r="330" ht="15.75" customHeight="1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</row>
    <row r="331" ht="15.75" customHeight="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</row>
    <row r="332" ht="15.75" customHeight="1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</row>
    <row r="333" ht="15.75" customHeight="1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</row>
    <row r="334" ht="15.75" customHeight="1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</row>
    <row r="335" ht="15.75" customHeight="1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</row>
    <row r="336" ht="15.75" customHeight="1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</row>
    <row r="337" ht="15.75" customHeight="1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</row>
    <row r="338" ht="15.75" customHeight="1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</row>
    <row r="339" ht="15.75" customHeight="1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</row>
    <row r="340" ht="15.75" customHeight="1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</row>
    <row r="341" ht="15.75" customHeight="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</row>
    <row r="342" ht="15.75" customHeight="1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</row>
    <row r="343" ht="15.75" customHeight="1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</row>
    <row r="344" ht="15.75" customHeight="1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</row>
    <row r="345" ht="15.75" customHeight="1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</row>
    <row r="346" ht="15.75" customHeight="1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</row>
    <row r="347" ht="15.75" customHeight="1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</row>
    <row r="348" ht="15.75" customHeight="1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</row>
    <row r="349" ht="15.75" customHeight="1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</row>
    <row r="350" ht="15.75" customHeight="1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</row>
    <row r="351" ht="15.75" customHeight="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</row>
    <row r="352" ht="15.75" customHeight="1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</row>
    <row r="353" ht="15.75" customHeight="1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</row>
    <row r="354" ht="15.75" customHeight="1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</row>
    <row r="355" ht="15.75" customHeight="1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</row>
    <row r="356" ht="15.75" customHeight="1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</row>
    <row r="357" ht="15.75" customHeight="1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</row>
    <row r="358" ht="15.75" customHeight="1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</row>
    <row r="359" ht="15.75" customHeight="1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</row>
    <row r="360" ht="15.75" customHeight="1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</row>
    <row r="361" ht="15.75" customHeight="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</row>
    <row r="362" ht="15.75" customHeight="1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</row>
    <row r="363" ht="15.75" customHeight="1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</row>
    <row r="364" ht="15.75" customHeight="1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</row>
    <row r="365" ht="15.75" customHeight="1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</row>
    <row r="366" ht="15.75" customHeight="1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</row>
    <row r="367" ht="15.75" customHeight="1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</row>
    <row r="368" ht="15.75" customHeight="1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</row>
    <row r="369" ht="15.75" customHeight="1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</row>
    <row r="370" ht="15.75" customHeight="1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</row>
    <row r="371" ht="15.75" customHeight="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</row>
    <row r="372" ht="15.75" customHeight="1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</row>
    <row r="373" ht="15.75" customHeight="1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</row>
    <row r="374" ht="15.75" customHeight="1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</row>
    <row r="375" ht="15.75" customHeight="1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</row>
    <row r="376" ht="15.75" customHeight="1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</row>
    <row r="377" ht="15.75" customHeight="1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</row>
    <row r="378" ht="15.75" customHeight="1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</row>
    <row r="379" ht="15.75" customHeight="1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</row>
    <row r="380" ht="15.75" customHeight="1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</row>
    <row r="381" ht="15.75" customHeight="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</row>
    <row r="382" ht="15.75" customHeight="1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</row>
    <row r="383" ht="15.75" customHeight="1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</row>
    <row r="384" ht="15.75" customHeight="1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</row>
    <row r="385" ht="15.75" customHeight="1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</row>
    <row r="386" ht="15.75" customHeight="1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</row>
    <row r="387" ht="15.75" customHeight="1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</row>
    <row r="388" ht="15.75" customHeight="1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</row>
    <row r="389" ht="15.75" customHeight="1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</row>
    <row r="390" ht="15.75" customHeight="1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</row>
    <row r="391" ht="15.75" customHeight="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</row>
    <row r="392" ht="15.75" customHeight="1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</row>
    <row r="393" ht="15.75" customHeight="1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</row>
    <row r="394" ht="15.75" customHeight="1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</row>
    <row r="395" ht="15.75" customHeight="1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</row>
    <row r="396" ht="15.75" customHeight="1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</row>
    <row r="397" ht="15.75" customHeight="1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</row>
    <row r="398" ht="15.75" customHeight="1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</row>
    <row r="399" ht="15.75" customHeight="1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</row>
    <row r="400" ht="15.75" customHeight="1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</row>
    <row r="401" ht="15.75" customHeight="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</row>
    <row r="402" ht="15.75" customHeight="1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</row>
    <row r="403" ht="15.75" customHeight="1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</row>
    <row r="404" ht="15.75" customHeight="1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</row>
    <row r="405" ht="15.75" customHeight="1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</row>
    <row r="406" ht="15.75" customHeight="1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</row>
    <row r="407" ht="15.75" customHeight="1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</row>
    <row r="408" ht="15.75" customHeight="1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</row>
    <row r="409" ht="15.75" customHeight="1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</row>
    <row r="410" ht="15.75" customHeight="1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</row>
    <row r="411" ht="15.75" customHeight="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</row>
    <row r="412" ht="15.75" customHeight="1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</row>
    <row r="413" ht="15.75" customHeight="1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</row>
    <row r="414" ht="15.75" customHeight="1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</row>
    <row r="415" ht="15.75" customHeight="1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</row>
    <row r="416" ht="15.75" customHeight="1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</row>
    <row r="417" ht="15.75" customHeight="1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</row>
    <row r="418" ht="15.75" customHeight="1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</row>
    <row r="419" ht="15.75" customHeight="1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</row>
    <row r="420" ht="15.75" customHeight="1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</row>
    <row r="421" ht="15.75" customHeight="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</row>
    <row r="422" ht="15.75" customHeight="1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</row>
    <row r="423" ht="15.75" customHeight="1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</row>
    <row r="424" ht="15.75" customHeight="1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</row>
    <row r="425" ht="15.75" customHeight="1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</row>
    <row r="426" ht="15.75" customHeight="1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</row>
    <row r="427" ht="15.75" customHeight="1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</row>
    <row r="428" ht="15.75" customHeight="1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</row>
    <row r="429" ht="15.75" customHeight="1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</row>
    <row r="430" ht="15.75" customHeight="1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</row>
    <row r="431" ht="15.75" customHeight="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</row>
    <row r="432" ht="15.75" customHeight="1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</row>
    <row r="433" ht="15.75" customHeight="1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</row>
    <row r="434" ht="15.75" customHeight="1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</row>
    <row r="435" ht="15.75" customHeight="1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</row>
    <row r="436" ht="15.75" customHeight="1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</row>
    <row r="437" ht="15.75" customHeight="1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</row>
    <row r="438" ht="15.75" customHeight="1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</row>
    <row r="439" ht="15.75" customHeight="1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</row>
    <row r="440" ht="15.75" customHeight="1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</row>
    <row r="441" ht="15.75" customHeight="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</row>
    <row r="442" ht="15.75" customHeight="1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</row>
    <row r="443" ht="15.75" customHeight="1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</row>
    <row r="444" ht="15.75" customHeight="1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</row>
    <row r="445" ht="15.75" customHeight="1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</row>
    <row r="446" ht="15.75" customHeight="1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</row>
    <row r="447" ht="15.75" customHeight="1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</row>
    <row r="448" ht="15.75" customHeight="1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</row>
    <row r="449" ht="15.75" customHeight="1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</row>
    <row r="450" ht="15.75" customHeight="1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</row>
    <row r="451" ht="15.75" customHeight="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</row>
    <row r="452" ht="15.75" customHeight="1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</row>
    <row r="453" ht="15.75" customHeight="1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</row>
    <row r="454" ht="15.75" customHeight="1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</row>
    <row r="455" ht="15.75" customHeight="1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</row>
    <row r="456" ht="15.75" customHeight="1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</row>
    <row r="457" ht="15.75" customHeight="1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</row>
    <row r="458" ht="15.75" customHeight="1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</row>
    <row r="459" ht="15.75" customHeight="1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</row>
    <row r="460" ht="15.75" customHeight="1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</row>
    <row r="461" ht="15.75" customHeight="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</row>
    <row r="462" ht="15.75" customHeight="1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</row>
    <row r="463" ht="15.75" customHeight="1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</row>
    <row r="464" ht="15.75" customHeight="1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</row>
    <row r="465" ht="15.75" customHeight="1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</row>
    <row r="466" ht="15.75" customHeight="1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</row>
    <row r="467" ht="15.75" customHeight="1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</row>
    <row r="468" ht="15.75" customHeight="1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</row>
    <row r="469" ht="15.75" customHeight="1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</row>
    <row r="470" ht="15.75" customHeight="1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</row>
    <row r="471" ht="15.75" customHeight="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</row>
    <row r="472" ht="15.75" customHeight="1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</row>
    <row r="473" ht="15.75" customHeight="1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</row>
    <row r="474" ht="15.75" customHeight="1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</row>
    <row r="475" ht="15.75" customHeight="1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</row>
    <row r="476" ht="15.75" customHeight="1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</row>
    <row r="477" ht="15.75" customHeight="1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</row>
    <row r="478" ht="15.75" customHeight="1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</row>
    <row r="479" ht="15.75" customHeight="1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</row>
    <row r="480" ht="15.75" customHeight="1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</row>
    <row r="481" ht="15.75" customHeight="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</row>
    <row r="482" ht="15.75" customHeight="1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</row>
    <row r="483" ht="15.75" customHeight="1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</row>
    <row r="484" ht="15.75" customHeight="1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</row>
    <row r="485" ht="15.75" customHeight="1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</row>
    <row r="486" ht="15.75" customHeight="1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</row>
    <row r="487" ht="15.75" customHeight="1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</row>
    <row r="488" ht="15.75" customHeight="1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</row>
    <row r="489" ht="15.75" customHeight="1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</row>
    <row r="490" ht="15.75" customHeight="1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</row>
    <row r="491" ht="15.75" customHeight="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</row>
    <row r="492" ht="15.75" customHeight="1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</row>
    <row r="493" ht="15.75" customHeight="1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</row>
    <row r="494" ht="15.75" customHeight="1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</row>
    <row r="495" ht="15.75" customHeight="1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</row>
    <row r="496" ht="15.75" customHeight="1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</row>
    <row r="497" ht="15.75" customHeight="1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</row>
    <row r="498" ht="15.75" customHeight="1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</row>
    <row r="499" ht="15.75" customHeight="1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</row>
    <row r="500" ht="15.75" customHeight="1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</row>
    <row r="501" ht="15.75" customHeight="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</row>
    <row r="502" ht="15.75" customHeight="1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</row>
    <row r="503" ht="15.75" customHeight="1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</row>
    <row r="504" ht="15.75" customHeight="1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</row>
    <row r="505" ht="15.75" customHeight="1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</row>
    <row r="506" ht="15.75" customHeight="1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</row>
    <row r="507" ht="15.75" customHeight="1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</row>
    <row r="508" ht="15.75" customHeight="1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</row>
    <row r="509" ht="15.75" customHeight="1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</row>
    <row r="510" ht="15.75" customHeight="1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</row>
    <row r="511" ht="15.75" customHeight="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</row>
    <row r="512" ht="15.75" customHeight="1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</row>
    <row r="513" ht="15.75" customHeight="1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</row>
    <row r="514" ht="15.75" customHeight="1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</row>
    <row r="515" ht="15.75" customHeight="1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</row>
    <row r="516" ht="15.75" customHeight="1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</row>
    <row r="517" ht="15.75" customHeight="1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</row>
    <row r="518" ht="15.75" customHeight="1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</row>
    <row r="519" ht="15.75" customHeight="1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</row>
    <row r="520" ht="15.75" customHeight="1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</row>
    <row r="521" ht="15.75" customHeight="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</row>
    <row r="522" ht="15.75" customHeight="1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</row>
    <row r="523" ht="15.75" customHeight="1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</row>
    <row r="524" ht="15.75" customHeight="1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</row>
    <row r="525" ht="15.75" customHeight="1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</row>
    <row r="526" ht="15.75" customHeight="1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</row>
    <row r="527" ht="15.75" customHeight="1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</row>
    <row r="528" ht="15.75" customHeight="1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</row>
    <row r="529" ht="15.75" customHeight="1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</row>
    <row r="530" ht="15.75" customHeight="1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</row>
    <row r="531" ht="15.75" customHeight="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</row>
    <row r="532" ht="15.75" customHeight="1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</row>
    <row r="533" ht="15.75" customHeight="1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</row>
    <row r="534" ht="15.75" customHeight="1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</row>
    <row r="535" ht="15.75" customHeight="1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</row>
    <row r="536" ht="15.75" customHeight="1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</row>
    <row r="537" ht="15.75" customHeight="1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</row>
    <row r="538" ht="15.75" customHeight="1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</row>
    <row r="539" ht="15.75" customHeight="1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</row>
    <row r="540" ht="15.75" customHeight="1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</row>
    <row r="541" ht="15.75" customHeight="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</row>
    <row r="542" ht="15.75" customHeight="1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</row>
    <row r="543" ht="15.75" customHeight="1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</row>
    <row r="544" ht="15.75" customHeight="1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</row>
    <row r="545" ht="15.75" customHeight="1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</row>
    <row r="546" ht="15.75" customHeight="1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</row>
    <row r="547" ht="15.75" customHeight="1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</row>
    <row r="548" ht="15.75" customHeight="1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</row>
    <row r="549" ht="15.75" customHeight="1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</row>
    <row r="550" ht="15.75" customHeight="1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</row>
    <row r="551" ht="15.75" customHeight="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</row>
    <row r="552" ht="15.75" customHeight="1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</row>
    <row r="553" ht="15.75" customHeight="1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</row>
    <row r="554" ht="15.75" customHeight="1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</row>
    <row r="555" ht="15.75" customHeight="1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</row>
    <row r="556" ht="15.75" customHeight="1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</row>
    <row r="557" ht="15.75" customHeight="1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</row>
    <row r="558" ht="15.75" customHeight="1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</row>
    <row r="559" ht="15.75" customHeight="1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</row>
    <row r="560" ht="15.75" customHeight="1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</row>
    <row r="561" ht="15.75" customHeight="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</row>
    <row r="562" ht="15.75" customHeight="1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</row>
    <row r="563" ht="15.75" customHeight="1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</row>
    <row r="564" ht="15.75" customHeight="1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</row>
    <row r="565" ht="15.75" customHeight="1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</row>
    <row r="566" ht="15.75" customHeight="1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</row>
    <row r="567" ht="15.75" customHeight="1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</row>
    <row r="568" ht="15.75" customHeight="1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</row>
    <row r="569" ht="15.75" customHeight="1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</row>
    <row r="570" ht="15.75" customHeight="1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</row>
    <row r="571" ht="15.75" customHeight="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</row>
    <row r="572" ht="15.75" customHeight="1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</row>
    <row r="573" ht="15.75" customHeight="1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</row>
    <row r="574" ht="15.75" customHeight="1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</row>
    <row r="575" ht="15.75" customHeight="1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</row>
    <row r="576" ht="15.75" customHeight="1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</row>
    <row r="577" ht="15.75" customHeight="1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</row>
    <row r="578" ht="15.75" customHeight="1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</row>
    <row r="579" ht="15.75" customHeight="1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</row>
    <row r="580" ht="15.75" customHeight="1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</row>
    <row r="581" ht="15.75" customHeight="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</row>
    <row r="582" ht="15.75" customHeight="1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</row>
    <row r="583" ht="15.75" customHeight="1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</row>
    <row r="584" ht="15.75" customHeight="1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</row>
    <row r="585" ht="15.75" customHeight="1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</row>
    <row r="586" ht="15.75" customHeight="1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</row>
    <row r="587" ht="15.75" customHeight="1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</row>
    <row r="588" ht="15.75" customHeight="1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</row>
    <row r="589" ht="15.75" customHeight="1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</row>
    <row r="590" ht="15.75" customHeight="1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</row>
    <row r="591" ht="15.75" customHeight="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</row>
    <row r="592" ht="15.75" customHeight="1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</row>
    <row r="593" ht="15.75" customHeight="1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</row>
    <row r="594" ht="15.75" customHeight="1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</row>
    <row r="595" ht="15.75" customHeight="1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</row>
    <row r="596" ht="15.75" customHeight="1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</row>
    <row r="597" ht="15.75" customHeight="1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</row>
    <row r="598" ht="15.75" customHeight="1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</row>
    <row r="599" ht="15.75" customHeight="1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</row>
    <row r="600" ht="15.75" customHeight="1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</row>
    <row r="601" ht="15.75" customHeight="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</row>
    <row r="602" ht="15.75" customHeight="1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</row>
    <row r="603" ht="15.75" customHeight="1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</row>
    <row r="604" ht="15.75" customHeight="1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</row>
    <row r="605" ht="15.75" customHeight="1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</row>
    <row r="606" ht="15.75" customHeight="1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</row>
    <row r="607" ht="15.75" customHeight="1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</row>
    <row r="608" ht="15.75" customHeight="1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</row>
    <row r="609" ht="15.75" customHeight="1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</row>
    <row r="610" ht="15.75" customHeight="1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</row>
    <row r="611" ht="15.75" customHeight="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</row>
    <row r="612" ht="15.75" customHeight="1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</row>
    <row r="613" ht="15.75" customHeight="1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</row>
    <row r="614" ht="15.75" customHeight="1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</row>
    <row r="615" ht="15.75" customHeight="1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</row>
    <row r="616" ht="15.75" customHeight="1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</row>
    <row r="617" ht="15.75" customHeight="1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</row>
    <row r="618" ht="15.75" customHeight="1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</row>
    <row r="619" ht="15.75" customHeight="1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</row>
    <row r="620" ht="15.75" customHeight="1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</row>
    <row r="621" ht="15.75" customHeight="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</row>
    <row r="622" ht="15.75" customHeight="1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</row>
    <row r="623" ht="15.75" customHeight="1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</row>
    <row r="624" ht="15.75" customHeight="1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</row>
    <row r="625" ht="15.75" customHeight="1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</row>
    <row r="626" ht="15.75" customHeight="1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</row>
    <row r="627" ht="15.75" customHeight="1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</row>
    <row r="628" ht="15.75" customHeight="1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</row>
    <row r="629" ht="15.75" customHeight="1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</row>
    <row r="630" ht="15.75" customHeight="1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</row>
    <row r="631" ht="15.75" customHeight="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</row>
    <row r="632" ht="15.75" customHeight="1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</row>
    <row r="633" ht="15.75" customHeight="1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</row>
    <row r="634" ht="15.75" customHeight="1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</row>
    <row r="635" ht="15.75" customHeight="1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</row>
    <row r="636" ht="15.75" customHeight="1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</row>
    <row r="637" ht="15.75" customHeight="1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</row>
    <row r="638" ht="15.75" customHeight="1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</row>
    <row r="639" ht="15.75" customHeight="1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</row>
    <row r="640" ht="15.75" customHeight="1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</row>
    <row r="641" ht="15.75" customHeight="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</row>
    <row r="642" ht="15.75" customHeight="1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</row>
    <row r="643" ht="15.75" customHeight="1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</row>
    <row r="644" ht="15.75" customHeight="1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</row>
    <row r="645" ht="15.75" customHeight="1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</row>
    <row r="646" ht="15.75" customHeight="1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</row>
    <row r="647" ht="15.75" customHeight="1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</row>
    <row r="648" ht="15.75" customHeight="1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</row>
    <row r="649" ht="15.75" customHeight="1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</row>
    <row r="650" ht="15.75" customHeight="1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</row>
    <row r="651" ht="15.75" customHeight="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</row>
    <row r="652" ht="15.75" customHeight="1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</row>
    <row r="653" ht="15.75" customHeight="1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</row>
    <row r="654" ht="15.75" customHeight="1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</row>
    <row r="655" ht="15.75" customHeight="1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</row>
    <row r="656" ht="15.75" customHeight="1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</row>
    <row r="657" ht="15.75" customHeight="1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</row>
    <row r="658" ht="15.75" customHeight="1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</row>
    <row r="659" ht="15.75" customHeight="1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</row>
    <row r="660" ht="15.75" customHeight="1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</row>
    <row r="661" ht="15.75" customHeight="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</row>
    <row r="662" ht="15.75" customHeight="1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</row>
    <row r="663" ht="15.75" customHeight="1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</row>
    <row r="664" ht="15.75" customHeight="1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</row>
    <row r="665" ht="15.75" customHeight="1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</row>
    <row r="666" ht="15.75" customHeight="1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</row>
    <row r="667" ht="15.75" customHeight="1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</row>
    <row r="668" ht="15.75" customHeight="1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</row>
    <row r="669" ht="15.75" customHeight="1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</row>
    <row r="670" ht="15.75" customHeight="1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</row>
    <row r="671" ht="15.75" customHeight="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</row>
    <row r="672" ht="15.75" customHeight="1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</row>
    <row r="673" ht="15.75" customHeight="1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</row>
    <row r="674" ht="15.75" customHeight="1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</row>
    <row r="675" ht="15.75" customHeight="1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</row>
    <row r="676" ht="15.75" customHeight="1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</row>
    <row r="677" ht="15.75" customHeight="1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</row>
    <row r="678" ht="15.75" customHeight="1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</row>
    <row r="679" ht="15.75" customHeight="1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</row>
    <row r="680" ht="15.75" customHeight="1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</row>
    <row r="681" ht="15.75" customHeight="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</row>
    <row r="682" ht="15.75" customHeight="1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</row>
    <row r="683" ht="15.75" customHeight="1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</row>
    <row r="684" ht="15.75" customHeight="1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</row>
    <row r="685" ht="15.75" customHeight="1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</row>
    <row r="686" ht="15.75" customHeight="1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</row>
    <row r="687" ht="15.75" customHeight="1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</row>
    <row r="688" ht="15.75" customHeight="1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</row>
    <row r="689" ht="15.75" customHeight="1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</row>
    <row r="690" ht="15.75" customHeight="1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</row>
    <row r="691" ht="15.75" customHeight="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</row>
    <row r="692" ht="15.75" customHeight="1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</row>
    <row r="693" ht="15.75" customHeight="1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</row>
    <row r="694" ht="15.75" customHeight="1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</row>
    <row r="695" ht="15.75" customHeight="1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</row>
    <row r="696" ht="15.75" customHeight="1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</row>
    <row r="697" ht="15.75" customHeight="1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</row>
    <row r="698" ht="15.75" customHeight="1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</row>
    <row r="699" ht="15.75" customHeight="1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</row>
    <row r="700" ht="15.75" customHeight="1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</row>
    <row r="701" ht="15.75" customHeight="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</row>
    <row r="702" ht="15.75" customHeight="1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</row>
    <row r="703" ht="15.75" customHeight="1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</row>
    <row r="704" ht="15.75" customHeight="1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</row>
    <row r="705" ht="15.75" customHeight="1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</row>
    <row r="706" ht="15.75" customHeight="1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</row>
    <row r="707" ht="15.75" customHeight="1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</row>
    <row r="708" ht="15.75" customHeight="1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</row>
    <row r="709" ht="15.75" customHeight="1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</row>
    <row r="710" ht="15.75" customHeight="1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</row>
    <row r="711" ht="15.75" customHeight="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</row>
    <row r="712" ht="15.75" customHeight="1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</row>
    <row r="713" ht="15.75" customHeight="1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</row>
    <row r="714" ht="15.75" customHeight="1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</row>
    <row r="715" ht="15.75" customHeight="1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</row>
    <row r="716" ht="15.75" customHeight="1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</row>
    <row r="717" ht="15.75" customHeight="1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</row>
    <row r="718" ht="15.75" customHeight="1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</row>
    <row r="719" ht="15.75" customHeight="1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</row>
    <row r="720" ht="15.75" customHeight="1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</row>
    <row r="721" ht="15.75" customHeight="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</row>
    <row r="722" ht="15.75" customHeight="1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</row>
    <row r="723" ht="15.75" customHeight="1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</row>
    <row r="724" ht="15.75" customHeight="1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</row>
    <row r="725" ht="15.75" customHeight="1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</row>
    <row r="726" ht="15.75" customHeight="1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</row>
    <row r="727" ht="15.75" customHeight="1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</row>
    <row r="728" ht="15.75" customHeight="1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</row>
    <row r="729" ht="15.75" customHeight="1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</row>
    <row r="730" ht="15.75" customHeight="1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</row>
    <row r="731" ht="15.75" customHeight="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</row>
    <row r="732" ht="15.75" customHeight="1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</row>
    <row r="733" ht="15.75" customHeight="1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</row>
    <row r="734" ht="15.75" customHeight="1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</row>
    <row r="735" ht="15.75" customHeight="1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</row>
    <row r="736" ht="15.75" customHeight="1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</row>
    <row r="737" ht="15.75" customHeight="1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</row>
    <row r="738" ht="15.75" customHeight="1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</row>
    <row r="739" ht="15.75" customHeight="1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</row>
    <row r="740" ht="15.75" customHeight="1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</row>
    <row r="741" ht="15.75" customHeight="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</row>
    <row r="742" ht="15.75" customHeight="1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</row>
    <row r="743" ht="15.75" customHeight="1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</row>
    <row r="744" ht="15.75" customHeight="1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</row>
    <row r="745" ht="15.75" customHeight="1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</row>
    <row r="746" ht="15.75" customHeight="1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</row>
    <row r="747" ht="15.75" customHeight="1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</row>
    <row r="748" ht="15.75" customHeight="1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</row>
    <row r="749" ht="15.75" customHeight="1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</row>
    <row r="750" ht="15.75" customHeight="1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</row>
    <row r="751" ht="15.75" customHeight="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</row>
    <row r="752" ht="15.75" customHeight="1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</row>
    <row r="753" ht="15.75" customHeight="1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</row>
    <row r="754" ht="15.75" customHeight="1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</row>
    <row r="755" ht="15.75" customHeight="1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</row>
    <row r="756" ht="15.75" customHeight="1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</row>
    <row r="757" ht="15.75" customHeight="1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</row>
    <row r="758" ht="15.75" customHeight="1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</row>
    <row r="759" ht="15.75" customHeight="1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</row>
    <row r="760" ht="15.75" customHeight="1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</row>
    <row r="761" ht="15.75" customHeight="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</row>
    <row r="762" ht="15.75" customHeight="1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</row>
    <row r="763" ht="15.75" customHeight="1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</row>
    <row r="764" ht="15.75" customHeight="1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</row>
    <row r="765" ht="15.75" customHeight="1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</row>
    <row r="766" ht="15.75" customHeight="1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</row>
    <row r="767" ht="15.75" customHeight="1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</row>
    <row r="768" ht="15.75" customHeight="1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</row>
    <row r="769" ht="15.75" customHeight="1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</row>
    <row r="770" ht="15.75" customHeight="1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</row>
    <row r="771" ht="15.75" customHeight="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</row>
    <row r="772" ht="15.75" customHeight="1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</row>
    <row r="773" ht="15.75" customHeight="1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</row>
    <row r="774" ht="15.75" customHeight="1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</row>
    <row r="775" ht="15.75" customHeight="1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</row>
    <row r="776" ht="15.75" customHeight="1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</row>
    <row r="777" ht="15.75" customHeight="1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</row>
    <row r="778" ht="15.75" customHeight="1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</row>
    <row r="779" ht="15.75" customHeight="1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</row>
    <row r="780" ht="15.75" customHeight="1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</row>
    <row r="781" ht="15.75" customHeight="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</row>
    <row r="782" ht="15.75" customHeight="1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</row>
    <row r="783" ht="15.75" customHeight="1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</row>
    <row r="784" ht="15.75" customHeight="1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</row>
    <row r="785" ht="15.75" customHeight="1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</row>
    <row r="786" ht="15.75" customHeight="1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</row>
    <row r="787" ht="15.75" customHeight="1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</row>
    <row r="788" ht="15.75" customHeight="1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</row>
    <row r="789" ht="15.75" customHeight="1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</row>
    <row r="790" ht="15.75" customHeight="1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</row>
    <row r="791" ht="15.75" customHeight="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</row>
    <row r="792" ht="15.75" customHeight="1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</row>
    <row r="793" ht="15.75" customHeight="1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</row>
    <row r="794" ht="15.75" customHeight="1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</row>
    <row r="795" ht="15.75" customHeight="1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</row>
    <row r="796" ht="15.75" customHeight="1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</row>
    <row r="797" ht="15.75" customHeight="1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</row>
    <row r="798" ht="15.75" customHeight="1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</row>
    <row r="799" ht="15.75" customHeight="1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</row>
    <row r="800" ht="15.75" customHeight="1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</row>
    <row r="801" ht="15.75" customHeight="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</row>
    <row r="802" ht="15.75" customHeight="1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</row>
    <row r="803" ht="15.75" customHeight="1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</row>
    <row r="804" ht="15.75" customHeight="1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</row>
    <row r="805" ht="15.75" customHeight="1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</row>
    <row r="806" ht="15.75" customHeight="1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</row>
    <row r="807" ht="15.75" customHeight="1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</row>
    <row r="808" ht="15.75" customHeight="1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</row>
    <row r="809" ht="15.75" customHeight="1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</row>
    <row r="810" ht="15.75" customHeight="1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</row>
    <row r="811" ht="15.75" customHeight="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</row>
    <row r="812" ht="15.75" customHeight="1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</row>
    <row r="813" ht="15.75" customHeight="1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</row>
    <row r="814" ht="15.75" customHeight="1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</row>
    <row r="815" ht="15.75" customHeight="1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</row>
    <row r="816" ht="15.75" customHeight="1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</row>
    <row r="817" ht="15.75" customHeight="1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</row>
    <row r="818" ht="15.75" customHeight="1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</row>
    <row r="819" ht="15.75" customHeight="1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</row>
    <row r="820" ht="15.75" customHeight="1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</row>
    <row r="821" ht="15.75" customHeight="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</row>
    <row r="822" ht="15.75" customHeight="1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</row>
    <row r="823" ht="15.75" customHeight="1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</row>
    <row r="824" ht="15.75" customHeight="1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</row>
    <row r="825" ht="15.75" customHeight="1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</row>
    <row r="826" ht="15.75" customHeight="1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</row>
    <row r="827" ht="15.75" customHeight="1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</row>
    <row r="828" ht="15.75" customHeight="1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</row>
    <row r="829" ht="15.75" customHeight="1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</row>
    <row r="830" ht="15.75" customHeight="1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</row>
    <row r="831" ht="15.75" customHeight="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</row>
    <row r="832" ht="15.75" customHeight="1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</row>
    <row r="833" ht="15.75" customHeight="1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</row>
    <row r="834" ht="15.75" customHeight="1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</row>
    <row r="835" ht="15.75" customHeight="1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</row>
    <row r="836" ht="15.75" customHeight="1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</row>
    <row r="837" ht="15.75" customHeight="1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</row>
    <row r="838" ht="15.75" customHeight="1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</row>
    <row r="839" ht="15.75" customHeight="1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</row>
    <row r="840" ht="15.75" customHeight="1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</row>
    <row r="841" ht="15.75" customHeight="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</row>
    <row r="842" ht="15.75" customHeight="1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</row>
    <row r="843" ht="15.75" customHeight="1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</row>
    <row r="844" ht="15.75" customHeight="1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</row>
    <row r="845" ht="15.75" customHeight="1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</row>
    <row r="846" ht="15.75" customHeight="1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</row>
    <row r="847" ht="15.75" customHeight="1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</row>
    <row r="848" ht="15.75" customHeight="1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</row>
    <row r="849" ht="15.75" customHeight="1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</row>
    <row r="850" ht="15.75" customHeight="1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</row>
    <row r="851" ht="15.75" customHeight="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</row>
    <row r="852" ht="15.75" customHeight="1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</row>
    <row r="853" ht="15.75" customHeight="1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</row>
    <row r="854" ht="15.75" customHeight="1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</row>
    <row r="855" ht="15.75" customHeight="1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</row>
    <row r="856" ht="15.75" customHeight="1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</row>
    <row r="857" ht="15.75" customHeight="1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</row>
    <row r="858" ht="15.75" customHeight="1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</row>
    <row r="859" ht="15.75" customHeight="1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</row>
    <row r="860" ht="15.75" customHeight="1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</row>
    <row r="861" ht="15.75" customHeight="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</row>
    <row r="862" ht="15.75" customHeight="1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</row>
    <row r="863" ht="15.75" customHeight="1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</row>
    <row r="864" ht="15.75" customHeight="1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</row>
    <row r="865" ht="15.75" customHeight="1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</row>
    <row r="866" ht="15.75" customHeight="1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</row>
    <row r="867" ht="15.75" customHeight="1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</row>
    <row r="868" ht="15.75" customHeight="1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</row>
    <row r="869" ht="15.75" customHeight="1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</row>
    <row r="870" ht="15.75" customHeight="1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</row>
    <row r="871" ht="15.75" customHeight="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</row>
    <row r="872" ht="15.75" customHeight="1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</row>
    <row r="873" ht="15.75" customHeight="1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</row>
    <row r="874" ht="15.75" customHeight="1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</row>
    <row r="875" ht="15.75" customHeight="1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</row>
    <row r="876" ht="15.75" customHeight="1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</row>
    <row r="877" ht="15.75" customHeight="1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</row>
    <row r="878" ht="15.75" customHeight="1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</row>
    <row r="879" ht="15.75" customHeight="1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</row>
    <row r="880" ht="15.75" customHeight="1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</row>
    <row r="881" ht="15.75" customHeight="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</row>
    <row r="882" ht="15.75" customHeight="1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</row>
    <row r="883" ht="15.75" customHeight="1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</row>
    <row r="884" ht="15.75" customHeight="1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</row>
    <row r="885" ht="15.75" customHeight="1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</row>
    <row r="886" ht="15.75" customHeight="1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</row>
    <row r="887" ht="15.75" customHeight="1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</row>
    <row r="888" ht="15.75" customHeight="1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</row>
    <row r="889" ht="15.75" customHeight="1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</row>
    <row r="890" ht="15.75" customHeight="1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</row>
    <row r="891" ht="15.75" customHeight="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</row>
    <row r="892" ht="15.75" customHeight="1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</row>
    <row r="893" ht="15.75" customHeight="1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</row>
    <row r="894" ht="15.75" customHeight="1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</row>
    <row r="895" ht="15.75" customHeight="1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</row>
    <row r="896" ht="15.75" customHeight="1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</row>
    <row r="897" ht="15.75" customHeight="1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</row>
    <row r="898" ht="15.75" customHeight="1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</row>
    <row r="899" ht="15.75" customHeight="1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</row>
    <row r="900" ht="15.75" customHeight="1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</row>
    <row r="901" ht="15.75" customHeight="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</row>
    <row r="902" ht="15.75" customHeight="1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</row>
    <row r="903" ht="15.75" customHeight="1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</row>
    <row r="904" ht="15.75" customHeight="1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</row>
    <row r="905" ht="15.75" customHeight="1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</row>
    <row r="906" ht="15.75" customHeight="1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</row>
    <row r="907" ht="15.75" customHeight="1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</row>
    <row r="908" ht="15.75" customHeight="1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</row>
    <row r="909" ht="15.75" customHeight="1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</row>
    <row r="910" ht="15.75" customHeight="1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</row>
    <row r="911" ht="15.75" customHeight="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</row>
    <row r="912" ht="15.75" customHeight="1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</row>
    <row r="913" ht="15.75" customHeight="1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</row>
    <row r="914" ht="15.75" customHeight="1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</row>
    <row r="915" ht="15.75" customHeight="1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</row>
    <row r="916" ht="15.75" customHeight="1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</row>
    <row r="917" ht="15.75" customHeight="1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</row>
    <row r="918" ht="15.75" customHeight="1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</row>
    <row r="919" ht="15.75" customHeight="1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</row>
    <row r="920" ht="15.75" customHeight="1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</row>
    <row r="921" ht="15.75" customHeight="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</row>
    <row r="922" ht="15.75" customHeight="1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</row>
    <row r="923" ht="15.75" customHeight="1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</row>
    <row r="924" ht="15.75" customHeight="1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</row>
    <row r="925" ht="15.75" customHeight="1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</row>
    <row r="926" ht="15.75" customHeight="1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</row>
    <row r="927" ht="15.75" customHeight="1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</row>
    <row r="928" ht="15.75" customHeight="1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</row>
    <row r="929" ht="15.75" customHeight="1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</row>
    <row r="930" ht="15.75" customHeight="1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</row>
    <row r="931" ht="15.75" customHeight="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</row>
    <row r="932" ht="15.75" customHeight="1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</row>
    <row r="933" ht="15.75" customHeight="1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</row>
    <row r="934" ht="15.75" customHeight="1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</row>
    <row r="935" ht="15.75" customHeight="1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</row>
    <row r="936" ht="15.75" customHeight="1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</row>
    <row r="937" ht="15.75" customHeight="1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</row>
    <row r="938" ht="15.75" customHeight="1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</row>
    <row r="939" ht="15.75" customHeight="1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</row>
    <row r="940" ht="15.75" customHeight="1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</row>
    <row r="941" ht="15.75" customHeight="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</row>
    <row r="942" ht="15.75" customHeight="1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</row>
    <row r="943" ht="15.75" customHeight="1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</row>
    <row r="944" ht="15.75" customHeight="1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</row>
    <row r="945" ht="15.75" customHeight="1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</row>
    <row r="946" ht="15.75" customHeight="1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</row>
    <row r="947" ht="15.75" customHeight="1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</row>
    <row r="948" ht="15.75" customHeight="1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</row>
    <row r="949" ht="15.75" customHeight="1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</row>
    <row r="950" ht="15.75" customHeight="1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</row>
    <row r="951" ht="15.75" customHeight="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</row>
    <row r="952" ht="15.75" customHeight="1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</row>
    <row r="953" ht="15.75" customHeight="1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</row>
    <row r="954" ht="15.75" customHeight="1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</row>
    <row r="955" ht="15.75" customHeight="1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</row>
    <row r="956" ht="15.75" customHeight="1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</row>
    <row r="957" ht="15.75" customHeight="1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</row>
    <row r="958" ht="15.75" customHeight="1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</row>
    <row r="959" ht="15.75" customHeight="1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</row>
    <row r="960" ht="15.75" customHeight="1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</row>
    <row r="961" ht="15.75" customHeight="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</row>
    <row r="962" ht="15.75" customHeight="1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</row>
    <row r="963" ht="15.75" customHeight="1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</row>
    <row r="964" ht="15.75" customHeight="1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</row>
    <row r="965" ht="15.75" customHeight="1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</row>
    <row r="966" ht="15.75" customHeight="1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</row>
    <row r="967" ht="15.75" customHeight="1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</row>
    <row r="968" ht="15.75" customHeight="1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</row>
    <row r="969" ht="15.75" customHeight="1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</row>
    <row r="970" ht="15.75" customHeight="1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</row>
    <row r="971" ht="15.75" customHeight="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</row>
    <row r="972" ht="15.75" customHeight="1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</row>
    <row r="973" ht="15.75" customHeight="1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</row>
    <row r="974" ht="15.75" customHeight="1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</row>
    <row r="975" ht="15.75" customHeight="1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</row>
    <row r="976" ht="15.75" customHeight="1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</row>
    <row r="977" ht="15.75" customHeight="1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</row>
    <row r="978" ht="15.75" customHeight="1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</row>
    <row r="979" ht="15.75" customHeight="1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</row>
    <row r="980" ht="15.75" customHeight="1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</row>
    <row r="981" ht="15.75" customHeight="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</row>
    <row r="982" ht="15.75" customHeight="1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</row>
    <row r="983" ht="15.75" customHeight="1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</row>
    <row r="984" ht="15.75" customHeight="1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</row>
    <row r="985" ht="15.75" customHeight="1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</row>
    <row r="986" ht="15.75" customHeight="1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</row>
    <row r="987" ht="15.75" customHeight="1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</row>
    <row r="988" ht="15.75" customHeight="1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</row>
    <row r="989" ht="15.75" customHeight="1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</row>
    <row r="990" ht="15.75" customHeight="1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</row>
    <row r="991" ht="15.75" customHeight="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</row>
    <row r="992" ht="15.75" customHeight="1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</row>
    <row r="993" ht="15.75" customHeight="1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</row>
    <row r="994" ht="15.75" customHeight="1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</row>
    <row r="995" ht="15.75" customHeight="1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</row>
    <row r="996" ht="15.75" customHeight="1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</row>
    <row r="997" ht="15.75" customHeight="1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</row>
    <row r="998" ht="15.75" customHeight="1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</row>
    <row r="999" ht="15.75" customHeight="1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</row>
    <row r="1000" ht="15.75" customHeight="1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</row>
  </sheetData>
  <mergeCells count="1">
    <mergeCell ref="A1:AG1"/>
  </mergeCells>
  <hyperlinks>
    <hyperlink r:id="rId1" ref="N13"/>
    <hyperlink r:id="rId2" ref="N14"/>
  </hyperlinks>
  <drawing r:id="rId3"/>
</worksheet>
</file>